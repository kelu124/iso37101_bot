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3" autoFilterDateGrouping="1"/>
  </bookViews>
  <sheets>
    <sheet name="Cover" sheetId="1" state="visible" r:id="rId1"/>
    <sheet name="HowTo" sheetId="2" state="visible" r:id="rId2"/>
    <sheet name="Definitions" sheetId="3" state="visible" r:id="rId3"/>
    <sheet name="9b2763acccbd" sheetId="4" state="visible" r:id="rId4"/>
  </sheets>
  <definedNames>
    <definedName name="_xlnm.Print_Area" localSheetId="0">'Cover'!$A$1:$S$25</definedName>
  </definedNames>
  <calcPr calcId="124519" fullCalcOnLoad="1" refMode="A1" iterate="0" iterateCount="100" iterateDelta="0.0001"/>
</workbook>
</file>

<file path=xl/styles.xml><?xml version="1.0" encoding="utf-8"?>
<styleSheet xmlns="http://schemas.openxmlformats.org/spreadsheetml/2006/main">
  <numFmts count="2">
    <numFmt numFmtId="164" formatCode="m/d/yyyy"/>
    <numFmt numFmtId="165" formatCode="[BLUE]\ #,##0;&quot;  - &quot;#,##0\ ;\-"/>
  </numFmts>
  <fonts count="23">
    <font>
      <name val="Calibri"/>
      <charset val="1"/>
      <family val="2"/>
      <color rgb="FF000000"/>
      <sz val="11"/>
    </font>
    <font>
      <name val="Arial"/>
      <family val="0"/>
      <sz val="10"/>
    </font>
    <font>
      <name val="Arial"/>
      <family val="0"/>
      <sz val="10"/>
    </font>
    <font>
      <name val="Arial"/>
      <family val="0"/>
      <sz val="10"/>
    </font>
    <font>
      <name val="Calibri"/>
      <charset val="1"/>
      <family val="2"/>
      <b val="1"/>
      <color rgb="FF000000"/>
      <sz val="11"/>
    </font>
    <font>
      <name val="Calibri"/>
      <charset val="1"/>
      <family val="2"/>
      <color rgb="FF808080"/>
      <sz val="8"/>
    </font>
    <font>
      <name val="Calibri"/>
      <charset val="1"/>
      <family val="2"/>
      <color rgb="FF000000"/>
      <sz val="8"/>
    </font>
    <font>
      <name val="Calibri"/>
      <charset val="1"/>
      <family val="2"/>
      <b val="1"/>
      <color rgb="FF000000"/>
      <sz val="11"/>
      <u val="single"/>
    </font>
    <font>
      <name val="Calibri"/>
      <charset val="1"/>
      <family val="2"/>
      <color rgb="FF000000"/>
      <sz val="11"/>
      <u val="single"/>
    </font>
    <font>
      <name val="Calibri"/>
      <charset val="1"/>
      <family val="2"/>
      <i val="1"/>
      <color rgb="FFBFBFBF"/>
      <sz val="11"/>
    </font>
    <font>
      <name val="Calibri"/>
      <charset val="1"/>
      <family val="2"/>
      <color rgb="FF000000"/>
      <sz val="9"/>
    </font>
    <font>
      <name val="Calibri"/>
      <charset val="1"/>
      <family val="2"/>
      <b val="1"/>
      <color rgb="FFA6A6A6"/>
      <sz val="11"/>
    </font>
    <font>
      <name val="Calibri"/>
      <charset val="1"/>
      <family val="2"/>
      <color rgb="FFA6A6A6"/>
      <sz val="11"/>
    </font>
    <font>
      <name val="Calibri"/>
      <charset val="1"/>
      <family val="2"/>
      <b val="1"/>
      <color rgb="FF000000"/>
      <sz val="12"/>
    </font>
    <font>
      <name val="Lucida Sans Typewriter"/>
      <charset val="1"/>
      <family val="3"/>
      <color rgb="FF000000"/>
      <sz val="8"/>
    </font>
    <font>
      <name val="Calibri"/>
      <charset val="1"/>
      <family val="2"/>
      <b val="1"/>
      <color rgb="FF000000"/>
      <sz val="10"/>
    </font>
    <font>
      <name val="Times New Roman"/>
      <charset val="1"/>
      <family val="1"/>
      <color rgb="FF000000"/>
      <sz val="10"/>
    </font>
    <font>
      <name val="Calibri"/>
      <charset val="1"/>
      <family val="2"/>
      <color rgb="FF000000"/>
      <sz val="10"/>
    </font>
    <font>
      <name val="Calibri"/>
      <charset val="1"/>
      <family val="2"/>
      <i val="1"/>
      <color rgb="FF000000"/>
      <sz val="10"/>
    </font>
    <font>
      <name val="Calibri"/>
      <charset val="1"/>
      <family val="2"/>
      <b val="1"/>
      <color rgb="FF000000"/>
      <sz val="14"/>
    </font>
    <font>
      <name val="Arial"/>
      <charset val="1"/>
      <family val="2"/>
      <b val="1"/>
      <color rgb="FF000000"/>
      <sz val="11"/>
    </font>
    <font>
      <name val="Arial"/>
      <charset val="1"/>
      <family val="2"/>
      <b val="1"/>
      <color rgb="FF000000"/>
      <sz val="9"/>
    </font>
    <font>
      <name val="Arial"/>
      <charset val="1"/>
      <family val="2"/>
      <color rgb="FF000000"/>
      <sz val="9"/>
    </font>
  </fonts>
  <fills count="10">
    <fill>
      <patternFill/>
    </fill>
    <fill>
      <patternFill patternType="gray125"/>
    </fill>
    <fill>
      <patternFill patternType="solid">
        <fgColor rgb="FFFFFFD7"/>
        <bgColor rgb="FFFFF2CC"/>
      </patternFill>
    </fill>
    <fill>
      <patternFill patternType="solid">
        <fgColor rgb="FFE2EFD9"/>
        <bgColor rgb="FFE2F0D9"/>
      </patternFill>
    </fill>
    <fill>
      <patternFill patternType="solid">
        <fgColor rgb="FFA8D08D"/>
        <bgColor rgb="FFC5E0B4"/>
      </patternFill>
    </fill>
    <fill>
      <patternFill patternType="solid">
        <fgColor rgb="FF538135"/>
        <bgColor rgb="FF808000"/>
      </patternFill>
    </fill>
    <fill>
      <patternFill patternType="solid">
        <fgColor rgb="FFF2F2F2"/>
        <bgColor rgb="FFE7E6E6"/>
      </patternFill>
    </fill>
    <fill>
      <patternFill patternType="solid">
        <fgColor rgb="FFFFF2CC"/>
        <bgColor rgb="FFFFFFD7"/>
      </patternFill>
    </fill>
    <fill>
      <patternFill patternType="solid">
        <fgColor rgb="FFE7E6E6"/>
        <bgColor rgb="FFE2EFD9"/>
      </patternFill>
    </fill>
    <fill>
      <patternFill patternType="solid">
        <fgColor rgb="FFFFFFFF"/>
        <bgColor rgb="FFF2F2F2"/>
      </patternFill>
    </fill>
  </fills>
  <borders count="31">
    <border>
      <left/>
      <right/>
      <top/>
      <bottom/>
      <diagonal/>
    </border>
    <border>
      <left style="thin"/>
      <right style="thin"/>
      <top style="thin"/>
      <bottom style="thin"/>
      <diagonal/>
    </border>
    <border>
      <left style="medium"/>
      <right style="medium"/>
      <top style="medium"/>
      <bottom style="medium"/>
      <diagonal/>
    </border>
    <border>
      <left/>
      <right style="medium"/>
      <top/>
      <bottom style="medium"/>
      <diagonal/>
    </border>
    <border>
      <left style="medium"/>
      <right style="medium"/>
      <top/>
      <bottom style="medium"/>
      <diagonal/>
    </border>
    <border>
      <left/>
      <right style="thin"/>
      <top style="thin"/>
      <bottom style="thin"/>
      <diagonal/>
    </border>
    <border>
      <left style="thin"/>
      <right style="thin"/>
      <top style="thin"/>
      <bottom/>
      <diagonal/>
    </border>
    <border>
      <left/>
      <right style="thin"/>
      <top style="thin"/>
      <bottom/>
      <diagonal/>
    </border>
    <border>
      <left style="thin"/>
      <right style="thin"/>
      <top/>
      <bottom/>
      <diagonal/>
    </border>
    <border>
      <left/>
      <right style="thin"/>
      <top/>
      <bottom/>
      <diagonal/>
    </border>
    <border>
      <left style="thin"/>
      <right style="thin"/>
      <top/>
      <bottom style="thin"/>
      <diagonal/>
    </border>
    <border>
      <left/>
      <right style="thin"/>
      <top/>
      <bottom style="thin"/>
      <diagonal/>
    </border>
    <border>
      <left style="thin">
        <color rgb="FF808080"/>
      </left>
      <right style="thin">
        <color rgb="FF808080"/>
      </right>
      <top style="thin">
        <color rgb="FF808080"/>
      </top>
      <bottom style="thin">
        <color rgb="FF808080"/>
      </bottom>
      <diagonal/>
    </border>
    <border>
      <left style="thin">
        <color rgb="FF808080"/>
      </left>
      <right style="thin">
        <color rgb="FF808080"/>
      </right>
      <top style="thin">
        <color rgb="FF808080"/>
      </top>
      <bottom/>
      <diagonal/>
    </border>
    <border>
      <left style="thin"/>
      <right/>
      <top style="thin"/>
      <bottom style="thin"/>
      <diagonal/>
    </border>
    <border>
      <left style="medium"/>
      <right style="medium"/>
      <top style="medium"/>
      <bottom/>
      <diagonal/>
    </border>
    <border>
      <left style="medium"/>
      <right style="medium"/>
      <top/>
      <bottom/>
      <diagonal/>
    </border>
    <border>
      <left/>
      <right/>
      <top style="medium"/>
      <bottom/>
      <diagonal/>
    </border>
    <border>
      <left style="medium">
        <color rgb="FF808080"/>
      </left>
      <right style="medium">
        <color rgb="FF808080"/>
      </right>
      <top style="medium">
        <color rgb="FF808080"/>
      </top>
      <bottom style="medium">
        <color rgb="FF808080"/>
      </bottom>
      <diagonal/>
    </border>
    <border>
      <left/>
      <right/>
      <top style="thin"/>
      <bottom/>
      <diagonal/>
    </border>
    <border>
      <left/>
      <right/>
      <top style="thin"/>
      <bottom style="thin"/>
      <diagonal/>
    </border>
    <border>
      <left style="medium"/>
      <right/>
      <top/>
      <bottom/>
      <diagonal/>
    </border>
    <border>
      <left/>
      <right style="medium"/>
      <top style="medium"/>
      <bottom/>
      <diagonal/>
    </border>
    <border>
      <left/>
      <right style="medium"/>
      <top style="medium"/>
      <bottom style="medium"/>
      <diagonal/>
    </border>
    <border>
      <left style="thin"/>
      <right/>
      <top/>
      <bottom/>
      <diagonal/>
    </border>
    <border>
      <left/>
      <right/>
      <top style="thin">
        <color rgb="FF808080"/>
      </top>
      <bottom/>
      <diagonal/>
    </border>
    <border>
      <left/>
      <right style="thin">
        <color rgb="FF808080"/>
      </right>
      <top style="thin">
        <color rgb="FF808080"/>
      </top>
      <bottom/>
      <diagonal/>
    </border>
    <border>
      <left/>
      <right/>
      <top style="thin">
        <color rgb="FF808080"/>
      </top>
      <bottom style="thin">
        <color rgb="FF808080"/>
      </bottom>
      <diagonal/>
    </border>
    <border>
      <left/>
      <right style="thin">
        <color rgb="FF808080"/>
      </right>
      <top style="thin">
        <color rgb="FF808080"/>
      </top>
      <bottom style="thin">
        <color rgb="FF808080"/>
      </bottom>
      <diagonal/>
    </border>
    <border>
      <left/>
      <right style="medium"/>
      <top/>
      <bottom/>
      <diagonal/>
    </border>
    <border>
      <left/>
      <right/>
      <top/>
      <bottom style="mediu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76">
    <xf numFmtId="0" fontId="0" fillId="0" borderId="0" applyAlignment="1" pivotButton="0" quotePrefix="0" xfId="0">
      <alignment horizontal="general" vertical="bottom"/>
    </xf>
    <xf numFmtId="0" fontId="0" fillId="0" borderId="0" applyAlignment="1" pivotButton="0" quotePrefix="0" xfId="0">
      <alignment horizontal="left" vertical="bottom"/>
    </xf>
    <xf numFmtId="0" fontId="0" fillId="0" borderId="0" applyAlignment="1" pivotButton="0" quotePrefix="0" xfId="0">
      <alignment horizontal="general" vertical="bottom"/>
    </xf>
    <xf numFmtId="0" fontId="4" fillId="0" borderId="0" applyAlignment="1" pivotButton="0" quotePrefix="0" xfId="0">
      <alignment horizontal="center" vertical="bottom"/>
    </xf>
    <xf numFmtId="0" fontId="4" fillId="0" borderId="0" applyAlignment="1" pivotButton="0" quotePrefix="0" xfId="0">
      <alignment horizontal="center" vertical="center"/>
    </xf>
    <xf numFmtId="0" fontId="4" fillId="0" borderId="0" applyAlignment="1" pivotButton="0" quotePrefix="0" xfId="0">
      <alignment horizontal="center" vertical="bottom"/>
    </xf>
    <xf numFmtId="0" fontId="5" fillId="0" borderId="0" applyAlignment="1" pivotButton="0" quotePrefix="0" xfId="0">
      <alignment horizontal="left" vertical="bottom"/>
    </xf>
    <xf numFmtId="0" fontId="6" fillId="0" borderId="0" applyAlignment="1" pivotButton="0" quotePrefix="0" xfId="0">
      <alignment horizontal="left" vertical="bottom"/>
    </xf>
    <xf numFmtId="0" fontId="7" fillId="0" borderId="1" applyAlignment="1" pivotButton="0" quotePrefix="0" xfId="0">
      <alignment horizontal="center" vertical="center"/>
    </xf>
    <xf numFmtId="0" fontId="0" fillId="0" borderId="1" applyAlignment="1" pivotButton="0" quotePrefix="0" xfId="0">
      <alignment horizontal="left" vertical="center" wrapText="1"/>
    </xf>
    <xf numFmtId="0" fontId="4" fillId="0" borderId="1" applyAlignment="1" pivotButton="0" quotePrefix="0" xfId="0">
      <alignment horizontal="right" vertical="center"/>
    </xf>
    <xf numFmtId="0" fontId="0" fillId="0" borderId="1" applyAlignment="1" pivotButton="0" quotePrefix="0" xfId="0">
      <alignment horizontal="left" vertical="center"/>
    </xf>
    <xf numFmtId="0" fontId="8" fillId="0" borderId="0" applyAlignment="1" pivotButton="0" quotePrefix="0" xfId="0">
      <alignment horizontal="general" vertical="bottom"/>
    </xf>
    <xf numFmtId="0" fontId="0" fillId="0" borderId="0" applyAlignment="1" pivotButton="0" quotePrefix="0" xfId="0">
      <alignment horizontal="left" vertical="top"/>
    </xf>
    <xf numFmtId="0" fontId="7" fillId="0" borderId="1" applyAlignment="1" pivotButton="0" quotePrefix="0" xfId="0">
      <alignment horizontal="right" vertical="bottom" indent="1"/>
    </xf>
    <xf numFmtId="0" fontId="0" fillId="2" borderId="1" applyAlignment="1" pivotButton="0" quotePrefix="0" xfId="0">
      <alignment horizontal="left" vertical="top"/>
    </xf>
    <xf numFmtId="0" fontId="9" fillId="0" borderId="2" applyAlignment="1" pivotButton="0" quotePrefix="0" xfId="0">
      <alignment horizontal="center" vertical="center" wrapText="1"/>
    </xf>
    <xf numFmtId="0" fontId="0" fillId="3" borderId="2" applyAlignment="1" pivotButton="0" quotePrefix="0" xfId="0">
      <alignment horizontal="center" vertical="center" wrapText="1"/>
    </xf>
    <xf numFmtId="0" fontId="0" fillId="4" borderId="2" applyAlignment="1" pivotButton="0" quotePrefix="0" xfId="0">
      <alignment horizontal="center" vertical="center" wrapText="1"/>
    </xf>
    <xf numFmtId="0" fontId="0" fillId="5" borderId="2" applyAlignment="1" pivotButton="0" quotePrefix="0" xfId="0">
      <alignment horizontal="center" vertical="center" wrapText="1"/>
    </xf>
    <xf numFmtId="0" fontId="7" fillId="0" borderId="0" applyAlignment="1" pivotButton="0" quotePrefix="0" xfId="0">
      <alignment horizontal="general" vertical="bottom"/>
    </xf>
    <xf numFmtId="0" fontId="7" fillId="0" borderId="0" applyAlignment="1" pivotButton="0" quotePrefix="0" xfId="0">
      <alignment horizontal="general" vertical="bottom"/>
    </xf>
    <xf numFmtId="0" fontId="10" fillId="6" borderId="3" applyAlignment="1" pivotButton="0" quotePrefix="0" xfId="0">
      <alignment horizontal="center" vertical="center" wrapText="1"/>
    </xf>
    <xf numFmtId="0" fontId="10" fillId="0" borderId="3" applyAlignment="1" pivotButton="0" quotePrefix="0" xfId="0">
      <alignment horizontal="center" vertical="center" wrapText="1"/>
    </xf>
    <xf numFmtId="164" fontId="0" fillId="2" borderId="1" applyAlignment="1" pivotButton="0" quotePrefix="0" xfId="0">
      <alignment horizontal="left" vertical="top"/>
    </xf>
    <xf numFmtId="0" fontId="10" fillId="0" borderId="4" applyAlignment="1" pivotButton="0" quotePrefix="0" xfId="0">
      <alignment horizontal="center" vertical="center" wrapText="1"/>
    </xf>
    <xf numFmtId="165" fontId="0" fillId="6" borderId="3" applyAlignment="1" pivotButton="0" quotePrefix="0" xfId="0">
      <alignment horizontal="center" vertical="center" wrapText="1"/>
    </xf>
    <xf numFmtId="165" fontId="0" fillId="0" borderId="3" applyAlignment="1" pivotButton="0" quotePrefix="0" xfId="0">
      <alignment horizontal="center" vertical="center" wrapText="1"/>
    </xf>
    <xf numFmtId="0" fontId="7" fillId="0" borderId="0" applyAlignment="1" pivotButton="0" quotePrefix="0" xfId="0">
      <alignment horizontal="right" vertical="bottom" indent="1"/>
    </xf>
    <xf numFmtId="0" fontId="7" fillId="0" borderId="1" applyAlignment="1" pivotButton="0" quotePrefix="0" xfId="0">
      <alignment horizontal="right" vertical="top" indent="1"/>
    </xf>
    <xf numFmtId="0" fontId="8" fillId="0" borderId="0" applyAlignment="1" pivotButton="0" quotePrefix="0" xfId="0">
      <alignment horizontal="right" vertical="bottom" indent="1"/>
    </xf>
    <xf numFmtId="0" fontId="11" fillId="0" borderId="0" applyAlignment="1" pivotButton="0" quotePrefix="0" xfId="0">
      <alignment horizontal="right" vertical="bottom" indent="1"/>
    </xf>
    <xf numFmtId="0" fontId="12" fillId="0" borderId="0" applyAlignment="1" pivotButton="0" quotePrefix="0" xfId="0">
      <alignment horizontal="general" vertical="bottom"/>
    </xf>
    <xf numFmtId="0" fontId="0" fillId="0" borderId="0" applyAlignment="1" pivotButton="0" quotePrefix="0" xfId="0">
      <alignment horizontal="left" vertical="bottom" wrapText="1"/>
    </xf>
    <xf numFmtId="0" fontId="13" fillId="0" borderId="0" applyAlignment="1" pivotButton="0" quotePrefix="0" xfId="0">
      <alignment horizontal="left" vertical="bottom" wrapText="1"/>
    </xf>
    <xf numFmtId="0" fontId="7" fillId="0" borderId="1" applyAlignment="1" pivotButton="0" quotePrefix="0" xfId="0">
      <alignment horizontal="center" vertical="bottom"/>
    </xf>
    <xf numFmtId="0" fontId="7" fillId="0" borderId="5" applyAlignment="1" pivotButton="0" quotePrefix="0" xfId="0">
      <alignment horizontal="center" vertical="bottom" wrapText="1"/>
    </xf>
    <xf numFmtId="0" fontId="4" fillId="0" borderId="6" applyAlignment="1" pivotButton="0" quotePrefix="0" xfId="0">
      <alignment horizontal="left" vertical="top"/>
    </xf>
    <xf numFmtId="0" fontId="0" fillId="0" borderId="7" applyAlignment="1" pivotButton="0" quotePrefix="0" xfId="0">
      <alignment horizontal="left" vertical="top" wrapText="1"/>
    </xf>
    <xf numFmtId="0" fontId="4" fillId="0" borderId="8" applyAlignment="1" pivotButton="0" quotePrefix="0" xfId="0">
      <alignment horizontal="left" vertical="top"/>
    </xf>
    <xf numFmtId="0" fontId="0" fillId="0" borderId="9" applyAlignment="1" pivotButton="0" quotePrefix="0" xfId="0">
      <alignment horizontal="left" vertical="top" wrapText="1"/>
    </xf>
    <xf numFmtId="0" fontId="0" fillId="7" borderId="9" applyAlignment="1" pivotButton="0" quotePrefix="0" xfId="0">
      <alignment horizontal="left" vertical="top" wrapText="1"/>
    </xf>
    <xf numFmtId="0" fontId="4" fillId="0" borderId="10" applyAlignment="1" pivotButton="0" quotePrefix="0" xfId="0">
      <alignment horizontal="left" vertical="top"/>
    </xf>
    <xf numFmtId="0" fontId="0" fillId="0" borderId="11" applyAlignment="1" pivotButton="0" quotePrefix="0" xfId="0">
      <alignment horizontal="left" vertical="top" wrapText="1"/>
    </xf>
    <xf numFmtId="0" fontId="7" fillId="0" borderId="5" applyAlignment="1" pivotButton="0" quotePrefix="0" xfId="0">
      <alignment horizontal="center" vertical="center" wrapText="1"/>
    </xf>
    <xf numFmtId="0" fontId="0" fillId="0" borderId="7" applyAlignment="1" pivotButton="0" quotePrefix="0" xfId="0">
      <alignment horizontal="left" vertical="bottom" wrapText="1"/>
    </xf>
    <xf numFmtId="0" fontId="0" fillId="0" borderId="9" applyAlignment="1" pivotButton="0" quotePrefix="0" xfId="0">
      <alignment horizontal="left" vertical="bottom" wrapText="1"/>
    </xf>
    <xf numFmtId="0" fontId="0" fillId="0" borderId="11" applyAlignment="1" pivotButton="0" quotePrefix="0" xfId="0">
      <alignment horizontal="left" vertical="bottom" wrapText="1"/>
    </xf>
    <xf numFmtId="0" fontId="4" fillId="0" borderId="12" applyAlignment="1" pivotButton="0" quotePrefix="0" xfId="0">
      <alignment horizontal="left" vertical="top" wrapText="1"/>
    </xf>
    <xf numFmtId="0" fontId="0" fillId="2" borderId="13" applyAlignment="1" pivotButton="0" quotePrefix="0" xfId="0">
      <alignment horizontal="general" vertical="bottom"/>
    </xf>
    <xf numFmtId="0" fontId="0" fillId="2" borderId="1" applyAlignment="1" pivotButton="0" quotePrefix="0" xfId="0">
      <alignment horizontal="left" vertical="top" wrapText="1"/>
    </xf>
    <xf numFmtId="0" fontId="4" fillId="0" borderId="14" applyAlignment="1" pivotButton="0" quotePrefix="0" xfId="0">
      <alignment horizontal="right" vertical="bottom"/>
    </xf>
    <xf numFmtId="0" fontId="0" fillId="0" borderId="1" applyAlignment="1" pivotButton="0" quotePrefix="0" xfId="0">
      <alignment horizontal="left" vertical="top" wrapText="1"/>
    </xf>
    <xf numFmtId="0" fontId="4" fillId="0" borderId="1" applyAlignment="1" pivotButton="0" quotePrefix="0" xfId="0">
      <alignment horizontal="left" vertical="top" wrapText="1"/>
    </xf>
    <xf numFmtId="0" fontId="4" fillId="0" borderId="1" applyAlignment="1" pivotButton="0" quotePrefix="0" xfId="0">
      <alignment horizontal="right" vertical="top" wrapText="1"/>
    </xf>
    <xf numFmtId="0" fontId="0" fillId="0" borderId="13" applyAlignment="1" pivotButton="0" quotePrefix="0" xfId="0">
      <alignment horizontal="left" vertical="top" wrapText="1"/>
    </xf>
    <xf numFmtId="0" fontId="4" fillId="0" borderId="12" applyAlignment="1" pivotButton="0" quotePrefix="0" xfId="0">
      <alignment horizontal="center" vertical="top" wrapText="1"/>
    </xf>
    <xf numFmtId="0" fontId="14" fillId="0" borderId="12" applyAlignment="1" pivotButton="0" quotePrefix="0" xfId="0">
      <alignment horizontal="center" vertical="center" wrapText="1"/>
    </xf>
    <xf numFmtId="0" fontId="14" fillId="2" borderId="12" applyAlignment="1" pivotButton="0" quotePrefix="0" xfId="0">
      <alignment horizontal="center" vertical="center" wrapText="1"/>
    </xf>
    <xf numFmtId="0" fontId="14" fillId="2" borderId="12" applyAlignment="1" pivotButton="0" quotePrefix="0" xfId="0">
      <alignment horizontal="general" vertical="center" wrapText="1"/>
    </xf>
    <xf numFmtId="0" fontId="4" fillId="0" borderId="2" applyAlignment="1" pivotButton="0" quotePrefix="0" xfId="0">
      <alignment horizontal="center" vertical="center" textRotation="90"/>
    </xf>
    <xf numFmtId="0" fontId="4" fillId="0" borderId="15" applyAlignment="1" pivotButton="0" quotePrefix="0" xfId="0">
      <alignment horizontal="center" vertical="top" wrapText="1"/>
    </xf>
    <xf numFmtId="0" fontId="4" fillId="0" borderId="15" applyAlignment="1" pivotButton="0" quotePrefix="0" xfId="0">
      <alignment horizontal="center" vertical="center" wrapText="1"/>
    </xf>
    <xf numFmtId="0" fontId="15" fillId="0" borderId="16" applyAlignment="1" pivotButton="0" quotePrefix="0" xfId="0">
      <alignment horizontal="left" vertical="center" wrapText="1"/>
    </xf>
    <xf numFmtId="0" fontId="15" fillId="0" borderId="16" applyAlignment="1" pivotButton="0" quotePrefix="0" xfId="0">
      <alignment horizontal="left" vertical="top" wrapText="1"/>
    </xf>
    <xf numFmtId="0" fontId="15" fillId="0" borderId="4" applyAlignment="1" pivotButton="0" quotePrefix="0" xfId="0">
      <alignment horizontal="left" vertical="center" wrapText="1"/>
    </xf>
    <xf numFmtId="0" fontId="15" fillId="0" borderId="4" applyAlignment="1" pivotButton="0" quotePrefix="0" xfId="0">
      <alignment horizontal="left" vertical="top" wrapText="1"/>
    </xf>
    <xf numFmtId="0" fontId="0" fillId="0" borderId="2" applyAlignment="1" pivotButton="0" quotePrefix="0" xfId="0">
      <alignment horizontal="center" vertical="center" wrapText="1"/>
    </xf>
    <xf numFmtId="0" fontId="0" fillId="0" borderId="4" applyAlignment="1" pivotButton="0" quotePrefix="0" xfId="0">
      <alignment horizontal="center" vertical="center" wrapText="1"/>
    </xf>
    <xf numFmtId="0" fontId="0" fillId="0" borderId="0" applyAlignment="1" pivotButton="0" quotePrefix="0" xfId="0">
      <alignment horizontal="center" vertical="center" wrapText="1"/>
    </xf>
    <xf numFmtId="0" fontId="18" fillId="0" borderId="17" applyAlignment="1" pivotButton="0" quotePrefix="0" xfId="0">
      <alignment horizontal="left" vertical="center" wrapText="1"/>
    </xf>
    <xf numFmtId="0" fontId="19" fillId="0" borderId="0" applyAlignment="1" pivotButton="0" quotePrefix="0" xfId="0">
      <alignment horizontal="center" vertical="bottom"/>
    </xf>
    <xf numFmtId="0" fontId="6" fillId="0" borderId="0" applyAlignment="1" pivotButton="0" quotePrefix="0" xfId="0">
      <alignment horizontal="general" vertical="bottom"/>
    </xf>
    <xf numFmtId="0" fontId="20" fillId="8" borderId="0" applyAlignment="1" pivotButton="0" quotePrefix="0" xfId="0">
      <alignment horizontal="general" vertical="bottom"/>
    </xf>
    <xf numFmtId="0" fontId="0" fillId="8" borderId="0" applyAlignment="1" pivotButton="0" quotePrefix="0" xfId="0">
      <alignment horizontal="general" vertical="bottom"/>
    </xf>
    <xf numFmtId="0" fontId="21" fillId="9" borderId="18" applyAlignment="1" pivotButton="0" quotePrefix="0" xfId="0">
      <alignment horizontal="center" vertical="center" wrapText="1"/>
    </xf>
    <xf numFmtId="0" fontId="22" fillId="9" borderId="18" applyAlignment="1" pivotButton="0" quotePrefix="0" xfId="0">
      <alignment horizontal="left" vertical="center" wrapText="1"/>
    </xf>
    <xf numFmtId="0" fontId="0" fillId="0" borderId="0" applyAlignment="1" pivotButton="0" quotePrefix="0" xfId="0">
      <alignment horizontal="center" vertical="center"/>
    </xf>
    <xf numFmtId="0" fontId="21" fillId="8" borderId="0" applyAlignment="1" pivotButton="0" quotePrefix="0" xfId="0">
      <alignment horizontal="general" vertical="bottom"/>
    </xf>
    <xf numFmtId="0" fontId="10" fillId="8" borderId="0" applyAlignment="1" pivotButton="0" quotePrefix="0" xfId="0">
      <alignment horizontal="center" vertical="center"/>
    </xf>
    <xf numFmtId="0" fontId="10" fillId="8" borderId="0" applyAlignment="1" pivotButton="0" quotePrefix="0" xfId="0">
      <alignment horizontal="general" vertical="bottom"/>
    </xf>
    <xf numFmtId="0" fontId="0" fillId="0" borderId="0" applyAlignment="1" pivotButton="0" quotePrefix="0" xfId="0">
      <alignment horizontal="general" vertical="bottom"/>
    </xf>
    <xf numFmtId="0" fontId="0" fillId="0" borderId="0" applyAlignment="1" pivotButton="0" quotePrefix="0" xfId="0">
      <alignment horizontal="left" vertical="bottom"/>
    </xf>
    <xf numFmtId="0" fontId="0" fillId="0" borderId="0" pivotButton="0" quotePrefix="0" xfId="0"/>
    <xf numFmtId="0" fontId="4" fillId="0" borderId="0" applyAlignment="1" pivotButton="0" quotePrefix="0" xfId="0">
      <alignment horizontal="center" vertical="bottom"/>
    </xf>
    <xf numFmtId="0" fontId="4" fillId="0" borderId="0" applyAlignment="1" pivotButton="0" quotePrefix="0" xfId="0">
      <alignment horizontal="center" vertical="center"/>
    </xf>
    <xf numFmtId="0" fontId="5" fillId="0" borderId="0" applyAlignment="1" pivotButton="0" quotePrefix="0" xfId="0">
      <alignment horizontal="left" vertical="bottom"/>
    </xf>
    <xf numFmtId="0" fontId="6" fillId="0" borderId="0" applyAlignment="1" pivotButton="0" quotePrefix="0" xfId="0">
      <alignment horizontal="left" vertical="bottom"/>
    </xf>
    <xf numFmtId="0" fontId="7" fillId="0" borderId="1" applyAlignment="1" pivotButton="0" quotePrefix="0" xfId="0">
      <alignment horizontal="center" vertical="center"/>
    </xf>
    <xf numFmtId="0" fontId="0" fillId="0" borderId="1" applyAlignment="1" pivotButton="0" quotePrefix="0" xfId="0">
      <alignment horizontal="left" vertical="center" wrapText="1"/>
    </xf>
    <xf numFmtId="0" fontId="4" fillId="0" borderId="1" applyAlignment="1" pivotButton="0" quotePrefix="0" xfId="0">
      <alignment horizontal="right" vertical="center"/>
    </xf>
    <xf numFmtId="0" fontId="0" fillId="0" borderId="1" applyAlignment="1" pivotButton="0" quotePrefix="0" xfId="0">
      <alignment horizontal="left" vertical="center"/>
    </xf>
    <xf numFmtId="0" fontId="0" fillId="0" borderId="20" pivotButton="0" quotePrefix="0" xfId="0"/>
    <xf numFmtId="0" fontId="0" fillId="0" borderId="5" pivotButton="0" quotePrefix="0" xfId="0"/>
    <xf numFmtId="0" fontId="8" fillId="0" borderId="0" applyAlignment="1" pivotButton="0" quotePrefix="0" xfId="0">
      <alignment horizontal="general" vertical="bottom"/>
    </xf>
    <xf numFmtId="0" fontId="0" fillId="0" borderId="0" applyAlignment="1" pivotButton="0" quotePrefix="0" xfId="0">
      <alignment horizontal="left" vertical="top"/>
    </xf>
    <xf numFmtId="0" fontId="7" fillId="0" borderId="1" applyAlignment="1" pivotButton="0" quotePrefix="0" xfId="0">
      <alignment horizontal="right" vertical="bottom" indent="1"/>
    </xf>
    <xf numFmtId="0" fontId="0" fillId="2" borderId="1" applyAlignment="1" pivotButton="0" quotePrefix="0" xfId="0">
      <alignment horizontal="left" vertical="top"/>
    </xf>
    <xf numFmtId="0" fontId="9" fillId="0" borderId="2" applyAlignment="1" pivotButton="0" quotePrefix="0" xfId="0">
      <alignment horizontal="center" vertical="center" wrapText="1"/>
    </xf>
    <xf numFmtId="0" fontId="0" fillId="3" borderId="2" applyAlignment="1" pivotButton="0" quotePrefix="0" xfId="0">
      <alignment horizontal="center" vertical="center" wrapText="1"/>
    </xf>
    <xf numFmtId="0" fontId="0" fillId="0" borderId="23" pivotButton="0" quotePrefix="0" xfId="0"/>
    <xf numFmtId="0" fontId="0" fillId="4" borderId="2" applyAlignment="1" pivotButton="0" quotePrefix="0" xfId="0">
      <alignment horizontal="center" vertical="center" wrapText="1"/>
    </xf>
    <xf numFmtId="0" fontId="0" fillId="5" borderId="2" applyAlignment="1" pivotButton="0" quotePrefix="0" xfId="0">
      <alignment horizontal="center" vertical="center" wrapText="1"/>
    </xf>
    <xf numFmtId="0" fontId="7" fillId="0" borderId="0" applyAlignment="1" pivotButton="0" quotePrefix="0" xfId="0">
      <alignment horizontal="general" vertical="bottom"/>
    </xf>
    <xf numFmtId="0" fontId="0" fillId="0" borderId="4" pivotButton="0" quotePrefix="0" xfId="0"/>
    <xf numFmtId="0" fontId="10" fillId="6" borderId="3" applyAlignment="1" pivotButton="0" quotePrefix="0" xfId="0">
      <alignment horizontal="center" vertical="center" wrapText="1"/>
    </xf>
    <xf numFmtId="0" fontId="10" fillId="0" borderId="3" applyAlignment="1" pivotButton="0" quotePrefix="0" xfId="0">
      <alignment horizontal="center" vertical="center" wrapText="1"/>
    </xf>
    <xf numFmtId="164" fontId="0" fillId="2" borderId="1" applyAlignment="1" pivotButton="0" quotePrefix="0" xfId="0">
      <alignment horizontal="left" vertical="top"/>
    </xf>
    <xf numFmtId="0" fontId="10" fillId="0" borderId="4" applyAlignment="1" pivotButton="0" quotePrefix="0" xfId="0">
      <alignment horizontal="center" vertical="center" wrapText="1"/>
    </xf>
    <xf numFmtId="165" fontId="0" fillId="6" borderId="3" applyAlignment="1" pivotButton="0" quotePrefix="0" xfId="0">
      <alignment horizontal="center" vertical="center" wrapText="1"/>
    </xf>
    <xf numFmtId="165" fontId="0" fillId="0" borderId="3" applyAlignment="1" pivotButton="0" quotePrefix="0" xfId="0">
      <alignment horizontal="center" vertical="center" wrapText="1"/>
    </xf>
    <xf numFmtId="0" fontId="7" fillId="0" borderId="0" applyAlignment="1" pivotButton="0" quotePrefix="0" xfId="0">
      <alignment horizontal="right" vertical="bottom" indent="1"/>
    </xf>
    <xf numFmtId="0" fontId="7" fillId="0" borderId="1" applyAlignment="1" pivotButton="0" quotePrefix="0" xfId="0">
      <alignment horizontal="right" vertical="top" indent="1"/>
    </xf>
    <xf numFmtId="0" fontId="0" fillId="0" borderId="8" pivotButton="0" quotePrefix="0" xfId="0"/>
    <xf numFmtId="0" fontId="0" fillId="0" borderId="10" pivotButton="0" quotePrefix="0" xfId="0"/>
    <xf numFmtId="0" fontId="8" fillId="0" borderId="0" applyAlignment="1" pivotButton="0" quotePrefix="0" xfId="0">
      <alignment horizontal="right" vertical="bottom" indent="1"/>
    </xf>
    <xf numFmtId="0" fontId="11" fillId="0" borderId="0" applyAlignment="1" pivotButton="0" quotePrefix="0" xfId="0">
      <alignment horizontal="right" vertical="bottom" indent="1"/>
    </xf>
    <xf numFmtId="0" fontId="12" fillId="0" borderId="0" applyAlignment="1" pivotButton="0" quotePrefix="0" xfId="0">
      <alignment horizontal="general" vertical="bottom"/>
    </xf>
    <xf numFmtId="0" fontId="0" fillId="0" borderId="0" applyAlignment="1" pivotButton="0" quotePrefix="0" xfId="0">
      <alignment horizontal="left" vertical="bottom" wrapText="1"/>
    </xf>
    <xf numFmtId="0" fontId="13" fillId="0" borderId="0" applyAlignment="1" pivotButton="0" quotePrefix="0" xfId="0">
      <alignment horizontal="left" vertical="bottom" wrapText="1"/>
    </xf>
    <xf numFmtId="0" fontId="7" fillId="0" borderId="1" applyAlignment="1" pivotButton="0" quotePrefix="0" xfId="0">
      <alignment horizontal="center" vertical="bottom"/>
    </xf>
    <xf numFmtId="0" fontId="7" fillId="0" borderId="5" applyAlignment="1" pivotButton="0" quotePrefix="0" xfId="0">
      <alignment horizontal="center" vertical="bottom" wrapText="1"/>
    </xf>
    <xf numFmtId="0" fontId="4" fillId="0" borderId="6" applyAlignment="1" pivotButton="0" quotePrefix="0" xfId="0">
      <alignment horizontal="left" vertical="top"/>
    </xf>
    <xf numFmtId="0" fontId="0" fillId="0" borderId="7" applyAlignment="1" pivotButton="0" quotePrefix="0" xfId="0">
      <alignment horizontal="left" vertical="top" wrapText="1"/>
    </xf>
    <xf numFmtId="0" fontId="4" fillId="0" borderId="8" applyAlignment="1" pivotButton="0" quotePrefix="0" xfId="0">
      <alignment horizontal="left" vertical="top"/>
    </xf>
    <xf numFmtId="0" fontId="0" fillId="0" borderId="9" applyAlignment="1" pivotButton="0" quotePrefix="0" xfId="0">
      <alignment horizontal="left" vertical="top" wrapText="1"/>
    </xf>
    <xf numFmtId="0" fontId="0" fillId="7" borderId="9" applyAlignment="1" pivotButton="0" quotePrefix="0" xfId="0">
      <alignment horizontal="left" vertical="top" wrapText="1"/>
    </xf>
    <xf numFmtId="0" fontId="4" fillId="0" borderId="10" applyAlignment="1" pivotButton="0" quotePrefix="0" xfId="0">
      <alignment horizontal="left" vertical="top"/>
    </xf>
    <xf numFmtId="0" fontId="0" fillId="0" borderId="11" applyAlignment="1" pivotButton="0" quotePrefix="0" xfId="0">
      <alignment horizontal="left" vertical="top" wrapText="1"/>
    </xf>
    <xf numFmtId="0" fontId="7" fillId="0" borderId="5" applyAlignment="1" pivotButton="0" quotePrefix="0" xfId="0">
      <alignment horizontal="center" vertical="center" wrapText="1"/>
    </xf>
    <xf numFmtId="0" fontId="0" fillId="0" borderId="7" applyAlignment="1" pivotButton="0" quotePrefix="0" xfId="0">
      <alignment horizontal="left" vertical="bottom" wrapText="1"/>
    </xf>
    <xf numFmtId="0" fontId="0" fillId="0" borderId="9" applyAlignment="1" pivotButton="0" quotePrefix="0" xfId="0">
      <alignment horizontal="left" vertical="bottom" wrapText="1"/>
    </xf>
    <xf numFmtId="0" fontId="0" fillId="0" borderId="11" applyAlignment="1" pivotButton="0" quotePrefix="0" xfId="0">
      <alignment horizontal="left" vertical="bottom" wrapText="1"/>
    </xf>
    <xf numFmtId="0" fontId="19" fillId="0" borderId="0" applyAlignment="1" pivotButton="0" quotePrefix="0" xfId="0">
      <alignment horizontal="center" vertical="bottom"/>
    </xf>
    <xf numFmtId="0" fontId="6" fillId="0" borderId="0" applyAlignment="1" pivotButton="0" quotePrefix="0" xfId="0">
      <alignment horizontal="general" vertical="bottom"/>
    </xf>
    <xf numFmtId="0" fontId="20" fillId="8" borderId="0" applyAlignment="1" pivotButton="0" quotePrefix="0" xfId="0">
      <alignment horizontal="general" vertical="bottom"/>
    </xf>
    <xf numFmtId="0" fontId="0" fillId="8" borderId="0" applyAlignment="1" pivotButton="0" quotePrefix="0" xfId="0">
      <alignment horizontal="general" vertical="bottom"/>
    </xf>
    <xf numFmtId="0" fontId="21" fillId="9" borderId="18" applyAlignment="1" pivotButton="0" quotePrefix="0" xfId="0">
      <alignment horizontal="center" vertical="center" wrapText="1"/>
    </xf>
    <xf numFmtId="0" fontId="22" fillId="9" borderId="18" applyAlignment="1" pivotButton="0" quotePrefix="0" xfId="0">
      <alignment horizontal="left" vertical="center" wrapText="1"/>
    </xf>
    <xf numFmtId="0" fontId="0" fillId="0" borderId="0" applyAlignment="1" pivotButton="0" quotePrefix="0" xfId="0">
      <alignment horizontal="center" vertical="center"/>
    </xf>
    <xf numFmtId="0" fontId="21" fillId="8" borderId="0" applyAlignment="1" pivotButton="0" quotePrefix="0" xfId="0">
      <alignment horizontal="general" vertical="bottom"/>
    </xf>
    <xf numFmtId="0" fontId="10" fillId="8" borderId="0" applyAlignment="1" pivotButton="0" quotePrefix="0" xfId="0">
      <alignment horizontal="center" vertical="center"/>
    </xf>
    <xf numFmtId="0" fontId="10" fillId="8" borderId="0" applyAlignment="1" pivotButton="0" quotePrefix="0" xfId="0">
      <alignment horizontal="general" vertical="bottom"/>
    </xf>
    <xf numFmtId="0" fontId="4" fillId="0" borderId="12" applyAlignment="1" pivotButton="0" quotePrefix="0" xfId="0">
      <alignment horizontal="left" vertical="top" wrapText="1"/>
    </xf>
    <xf numFmtId="0" fontId="0" fillId="2" borderId="13" applyAlignment="1" pivotButton="0" quotePrefix="0" xfId="0">
      <alignment horizontal="general" vertical="bottom"/>
    </xf>
    <xf numFmtId="0" fontId="0" fillId="0" borderId="25" pivotButton="0" quotePrefix="0" xfId="0"/>
    <xf numFmtId="0" fontId="0" fillId="0" borderId="26" pivotButton="0" quotePrefix="0" xfId="0"/>
    <xf numFmtId="0" fontId="0" fillId="2" borderId="1" applyAlignment="1" pivotButton="0" quotePrefix="0" xfId="0">
      <alignment horizontal="left" vertical="top" wrapText="1"/>
    </xf>
    <xf numFmtId="0" fontId="4" fillId="0" borderId="14" applyAlignment="1" pivotButton="0" quotePrefix="0" xfId="0">
      <alignment horizontal="right" vertical="bottom"/>
    </xf>
    <xf numFmtId="0" fontId="0" fillId="0" borderId="1" applyAlignment="1" pivotButton="0" quotePrefix="0" xfId="0">
      <alignment horizontal="left" vertical="top" wrapText="1"/>
    </xf>
    <xf numFmtId="0" fontId="4" fillId="0" borderId="1" applyAlignment="1" pivotButton="0" quotePrefix="0" xfId="0">
      <alignment horizontal="left" vertical="top" wrapText="1"/>
    </xf>
    <xf numFmtId="0" fontId="4" fillId="0" borderId="1" applyAlignment="1" pivotButton="0" quotePrefix="0" xfId="0">
      <alignment horizontal="right" vertical="top" wrapText="1"/>
    </xf>
    <xf numFmtId="0" fontId="0" fillId="0" borderId="13" applyAlignment="1" pivotButton="0" quotePrefix="0" xfId="0">
      <alignment horizontal="left" vertical="top" wrapText="1"/>
    </xf>
    <xf numFmtId="0" fontId="4" fillId="0" borderId="12" applyAlignment="1" pivotButton="0" quotePrefix="0" xfId="0">
      <alignment horizontal="center" vertical="top" wrapText="1"/>
    </xf>
    <xf numFmtId="0" fontId="0" fillId="0" borderId="27" pivotButton="0" quotePrefix="0" xfId="0"/>
    <xf numFmtId="0" fontId="0" fillId="0" borderId="28" pivotButton="0" quotePrefix="0" xfId="0"/>
    <xf numFmtId="0" fontId="14" fillId="0" borderId="12" applyAlignment="1" pivotButton="0" quotePrefix="0" xfId="0">
      <alignment horizontal="center" vertical="center" wrapText="1"/>
    </xf>
    <xf numFmtId="0" fontId="14" fillId="2" borderId="12" applyAlignment="1" pivotButton="0" quotePrefix="0" xfId="0">
      <alignment horizontal="center" vertical="center" wrapText="1"/>
    </xf>
    <xf numFmtId="0" fontId="14" fillId="2" borderId="12" applyAlignment="1" pivotButton="0" quotePrefix="0" xfId="0">
      <alignment horizontal="general" vertical="center" wrapText="1"/>
    </xf>
    <xf numFmtId="0" fontId="4" fillId="0" borderId="2" applyAlignment="1" pivotButton="0" quotePrefix="0" xfId="0">
      <alignment horizontal="center" vertical="center" textRotation="90"/>
    </xf>
    <xf numFmtId="0" fontId="4" fillId="0" borderId="15" applyAlignment="1" pivotButton="0" quotePrefix="0" xfId="0">
      <alignment horizontal="center" vertical="top" wrapText="1"/>
    </xf>
    <xf numFmtId="0" fontId="0" fillId="0" borderId="17" pivotButton="0" quotePrefix="0" xfId="0"/>
    <xf numFmtId="0" fontId="0" fillId="0" borderId="22" pivotButton="0" quotePrefix="0" xfId="0"/>
    <xf numFmtId="0" fontId="4" fillId="0" borderId="15" applyAlignment="1" pivotButton="0" quotePrefix="0" xfId="0">
      <alignment horizontal="center" vertical="center" wrapText="1"/>
    </xf>
    <xf numFmtId="0" fontId="0" fillId="0" borderId="16" pivotButton="0" quotePrefix="0" xfId="0"/>
    <xf numFmtId="0" fontId="15" fillId="0" borderId="16" applyAlignment="1" pivotButton="0" quotePrefix="0" xfId="0">
      <alignment horizontal="left" vertical="center" wrapText="1"/>
    </xf>
    <xf numFmtId="0" fontId="0" fillId="0" borderId="29" pivotButton="0" quotePrefix="0" xfId="0"/>
    <xf numFmtId="0" fontId="15" fillId="0" borderId="16" applyAlignment="1" pivotButton="0" quotePrefix="0" xfId="0">
      <alignment horizontal="left" vertical="top" wrapText="1"/>
    </xf>
    <xf numFmtId="0" fontId="15" fillId="0" borderId="4" applyAlignment="1" pivotButton="0" quotePrefix="0" xfId="0">
      <alignment horizontal="left" vertical="center" wrapText="1"/>
    </xf>
    <xf numFmtId="0" fontId="0" fillId="0" borderId="30" pivotButton="0" quotePrefix="0" xfId="0"/>
    <xf numFmtId="0" fontId="0" fillId="0" borderId="3" pivotButton="0" quotePrefix="0" xfId="0"/>
    <xf numFmtId="0" fontId="15" fillId="0" borderId="4" applyAlignment="1" pivotButton="0" quotePrefix="0" xfId="0">
      <alignment horizontal="left" vertical="top" wrapText="1"/>
    </xf>
    <xf numFmtId="0" fontId="0" fillId="0" borderId="2" applyAlignment="1" pivotButton="0" quotePrefix="0" xfId="0">
      <alignment horizontal="center" vertical="center" wrapText="1"/>
    </xf>
    <xf numFmtId="0" fontId="0" fillId="0" borderId="4" applyAlignment="1" pivotButton="0" quotePrefix="0" xfId="0">
      <alignment horizontal="center" vertical="center" wrapText="1"/>
    </xf>
    <xf numFmtId="0" fontId="0" fillId="0" borderId="0" applyAlignment="1" pivotButton="0" quotePrefix="0" xfId="0">
      <alignment horizontal="center" vertical="center" wrapText="1"/>
    </xf>
    <xf numFmtId="0" fontId="18" fillId="0" borderId="17" applyAlignment="1" pivotButton="0" quotePrefix="0" xfId="0">
      <alignment horizontal="left" vertical="center"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8">
    <dxf>
      <font>
        <name val="Calibri"/>
        <charset val="1"/>
        <family val="2"/>
        <b val="1"/>
        <color rgb="FF000000"/>
        <sz val="11"/>
      </font>
      <fill>
        <patternFill>
          <bgColor rgb="FFE2F0D9"/>
        </patternFill>
      </fill>
    </dxf>
    <dxf>
      <font>
        <name val="Calibri"/>
        <charset val="1"/>
        <family val="2"/>
        <b val="1"/>
        <color rgb="FF000000"/>
        <sz val="11"/>
      </font>
      <fill>
        <patternFill>
          <bgColor rgb="FFE2F0D9"/>
        </patternFill>
      </fill>
    </dxf>
    <dxf>
      <font>
        <name val="Calibri"/>
        <charset val="1"/>
        <family val="2"/>
        <b val="1"/>
        <color rgb="FF000000"/>
        <sz val="11"/>
      </font>
      <fill>
        <patternFill>
          <bgColor rgb="FFE2F0D9"/>
        </patternFill>
      </fill>
    </dxf>
    <dxf>
      <font>
        <name val="Calibri"/>
        <charset val="1"/>
        <family val="2"/>
        <b val="1"/>
        <color rgb="FF000000"/>
        <sz val="11"/>
      </font>
      <fill>
        <patternFill>
          <bgColor rgb="FFE2F0D9"/>
        </patternFill>
      </fill>
    </dxf>
    <dxf>
      <font>
        <name val="Calibri"/>
        <charset val="1"/>
        <family val="2"/>
        <b val="1"/>
        <color rgb="FF000000"/>
        <sz val="11"/>
      </font>
      <fill>
        <patternFill>
          <bgColor rgb="FFE2F0D9"/>
        </patternFill>
      </fill>
    </dxf>
    <dxf>
      <font>
        <name val="Calibri"/>
        <charset val="1"/>
        <family val="2"/>
        <b val="1"/>
        <color rgb="FF000000"/>
        <sz val="11"/>
      </font>
      <fill>
        <patternFill>
          <bgColor rgb="FFE2F0D9"/>
        </patternFill>
      </fill>
    </dxf>
    <dxf>
      <font>
        <name val="Calibri"/>
        <charset val="1"/>
        <family val="2"/>
        <b val="1"/>
        <color rgb="FF000000"/>
        <sz val="11"/>
      </font>
      <fill>
        <patternFill>
          <bgColor rgb="FFE2F0D9"/>
        </patternFill>
      </fill>
    </dxf>
    <dxf>
      <font>
        <name val="Calibri"/>
        <charset val="1"/>
        <family val="2"/>
        <b val="1"/>
        <color rgb="FF000000"/>
        <sz val="11"/>
      </font>
      <fill>
        <patternFill>
          <bgColor rgb="FFE2F0D9"/>
        </patternFill>
      </fill>
    </dxf>
    <dxf>
      <font>
        <name val="Calibri"/>
        <charset val="1"/>
        <family val="2"/>
        <b val="1"/>
        <color rgb="FF000000"/>
        <sz val="11"/>
      </font>
      <fill>
        <patternFill>
          <bgColor rgb="FFE2F0D9"/>
        </patternFill>
      </fill>
    </dxf>
    <dxf>
      <font>
        <name val="Calibri"/>
        <charset val="1"/>
        <family val="2"/>
        <b val="1"/>
        <color rgb="FF000000"/>
        <sz val="11"/>
      </font>
      <fill>
        <patternFill>
          <bgColor rgb="FFE2F0D9"/>
        </patternFill>
      </fill>
    </dxf>
    <dxf>
      <font>
        <name val="Calibri"/>
        <charset val="1"/>
        <family val="2"/>
        <b val="1"/>
        <color rgb="FF000000"/>
        <sz val="11"/>
      </font>
      <fill>
        <patternFill>
          <bgColor rgb="FFE2F0D9"/>
        </patternFill>
      </fill>
    </dxf>
    <dxf>
      <font>
        <name val="Calibri"/>
        <charset val="1"/>
        <family val="2"/>
        <b val="1"/>
        <color rgb="FF000000"/>
        <sz val="11"/>
      </font>
      <fill>
        <patternFill>
          <bgColor rgb="FFE2F0D9"/>
        </patternFill>
      </fill>
    </dxf>
    <dxf>
      <font>
        <name val="Calibri"/>
        <charset val="1"/>
        <family val="2"/>
        <b val="1"/>
        <color rgb="FF000000"/>
        <sz val="11"/>
      </font>
      <fill>
        <patternFill>
          <bgColor rgb="FFE2F0D9"/>
        </patternFill>
      </fill>
    </dxf>
    <dxf>
      <font>
        <name val="Calibri"/>
        <charset val="1"/>
        <family val="2"/>
        <b val="1"/>
        <color rgb="FF000000"/>
        <sz val="11"/>
      </font>
      <fill>
        <patternFill>
          <bgColor rgb="FFE2F0D9"/>
        </patternFill>
      </fill>
    </dxf>
    <dxf>
      <font>
        <name val="Calibri"/>
        <charset val="1"/>
        <family val="2"/>
        <b val="1"/>
        <color rgb="FF000000"/>
        <sz val="11"/>
      </font>
      <fill>
        <patternFill>
          <bgColor rgb="FFE2F0D9"/>
        </patternFill>
      </fill>
    </dxf>
    <dxf>
      <font>
        <name val="Calibri"/>
        <charset val="1"/>
        <family val="2"/>
        <b val="1"/>
        <color rgb="FF000000"/>
        <sz val="11"/>
      </font>
      <fill>
        <patternFill>
          <bgColor rgb="FFE2F0D9"/>
        </patternFill>
      </fill>
    </dxf>
    <dxf>
      <font>
        <name val="Calibri"/>
        <charset val="1"/>
        <family val="2"/>
        <b val="1"/>
        <color rgb="FF000000"/>
        <sz val="11"/>
      </font>
      <fill>
        <patternFill>
          <bgColor rgb="FFE2F0D9"/>
        </patternFill>
      </fill>
    </dxf>
    <dxf>
      <font>
        <name val="Calibri"/>
        <charset val="1"/>
        <family val="2"/>
        <b val="1"/>
        <color rgb="FF000000"/>
        <sz val="11"/>
      </font>
      <fill>
        <patternFill>
          <bgColor rgb="FFE2F0D9"/>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D7"/>
      <rgbColor rgb="FFE2EFD9"/>
      <rgbColor rgb="FF660066"/>
      <rgbColor rgb="FFFF8080"/>
      <rgbColor rgb="FF0066CC"/>
      <rgbColor rgb="FFB4C7E7"/>
      <rgbColor rgb="FF000080"/>
      <rgbColor rgb="FFFF00FF"/>
      <rgbColor rgb="FFFFFF00"/>
      <rgbColor rgb="FF00FFFF"/>
      <rgbColor rgb="FF800080"/>
      <rgbColor rgb="FF800000"/>
      <rgbColor rgb="FF008080"/>
      <rgbColor rgb="FF0000FF"/>
      <rgbColor rgb="FF00CCFF"/>
      <rgbColor rgb="FFF2F2F2"/>
      <rgbColor rgb="FFE2F0D9"/>
      <rgbColor rgb="FFFFF2CC"/>
      <rgbColor rgb="FFC5E0B4"/>
      <rgbColor rgb="FFE7E6E6"/>
      <rgbColor rgb="FFCC99FF"/>
      <rgbColor rgb="FFF8CBAD"/>
      <rgbColor rgb="FF3366FF"/>
      <rgbColor rgb="FF33CCCC"/>
      <rgbColor rgb="FFA8D08D"/>
      <rgbColor rgb="FFFFCC00"/>
      <rgbColor rgb="FFFF9900"/>
      <rgbColor rgb="FFFF6600"/>
      <rgbColor rgb="FF666699"/>
      <rgbColor rgb="FFA6A6A6"/>
      <rgbColor rgb="FF003366"/>
      <rgbColor rgb="FF538135"/>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3</col>
      <colOff>380880</colOff>
      <row>0</row>
      <rowOff>123840</rowOff>
    </from>
    <to>
      <col>9</col>
      <colOff>464760</colOff>
      <row>11</row>
      <rowOff>19080</rowOff>
    </to>
    <pic>
      <nvPicPr>
        <cNvPr id="0" name="Picture 60" descr=""/>
        <cNvPicPr/>
      </nvPicPr>
      <blipFill>
        <a:blip r:embed="rId1"/>
        <a:stretch>
          <a:fillRect/>
        </a:stretch>
      </blipFill>
      <spPr>
        <a:xfrm>
          <a:off x="4219920" y="123840"/>
          <a:ext cx="3776040" cy="2819520"/>
        </a:xfrm>
        <a:prstGeom prst="rect">
          <avLst/>
        </a:prstGeom>
        <a:ln w="0">
          <a:noFill/>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filterMode="0">
    <tabColor rgb="FF000000"/>
    <outlinePr summaryBelow="1" summaryRight="1"/>
    <pageSetUpPr fitToPage="1"/>
  </sheetPr>
  <dimension ref="B2:W37"/>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C25" activeCellId="0" sqref="C25"/>
    </sheetView>
  </sheetViews>
  <sheetFormatPr baseColWidth="8" defaultColWidth="8.9140625" defaultRowHeight="13.8" zeroHeight="0" outlineLevelRow="0"/>
  <cols>
    <col width="3.3" customWidth="1" style="81" min="1" max="1"/>
    <col width="20.71" customWidth="1" style="81" min="2" max="2"/>
    <col width="25.29" customWidth="1" style="82" min="3" max="3"/>
    <col width="3.3" customWidth="1" style="81" min="4" max="4"/>
    <col width="2.14" customWidth="1" style="81" min="5" max="5"/>
    <col width="25.57" customWidth="1" style="81" min="6" max="6"/>
    <col width="8.289999999999999" customWidth="1" style="81" min="7" max="18"/>
    <col width="2.14" customWidth="1" style="81" min="19" max="19"/>
    <col width="12.1" customWidth="1" style="81" min="20" max="20"/>
    <col width="15.28" customWidth="1" style="81" min="21" max="21"/>
    <col width="8.890000000000001" customWidth="1" style="81" min="22" max="22"/>
  </cols>
  <sheetData>
    <row r="2" ht="13.8" customHeight="1" s="83">
      <c r="B2" s="84" t="inlineStr">
        <is>
          <t>ISO37101 assessment</t>
        </is>
      </c>
      <c r="F2" s="85" t="n"/>
    </row>
    <row r="3" ht="7.5" customHeight="1" s="83">
      <c r="B3" s="84" t="n"/>
      <c r="C3" s="84" t="n"/>
    </row>
    <row r="4" ht="13.8" customHeight="1" s="83">
      <c r="B4" s="86" t="inlineStr">
        <is>
          <t>If needed, see the "HowTo" tab for next actions</t>
        </is>
      </c>
      <c r="C4" s="84" t="n"/>
    </row>
    <row r="5" ht="7.5" customHeight="1" s="83">
      <c r="B5" s="87" t="n"/>
      <c r="C5" s="84" t="n"/>
    </row>
    <row r="6" ht="50.25" customHeight="1" s="83">
      <c r="B6" s="88" t="inlineStr">
        <is>
          <t>Content</t>
        </is>
      </c>
      <c r="C6" s="89" t="inlineStr">
        <is>
          <t>Activities.</t>
        </is>
      </c>
      <c r="F6" s="90" t="inlineStr">
        <is>
          <t xml:space="preserve">Summary table: </t>
        </is>
      </c>
      <c r="G6" s="91" t="inlineStr">
        <is>
          <t>The following table summarizes the finding of this assessment.</t>
        </is>
      </c>
      <c r="H6" s="92" t="n"/>
      <c r="I6" s="92" t="n"/>
      <c r="J6" s="92" t="n"/>
      <c r="K6" s="92" t="n"/>
      <c r="L6" s="92" t="n"/>
      <c r="M6" s="92" t="n"/>
      <c r="N6" s="92" t="n"/>
      <c r="O6" s="92" t="n"/>
      <c r="P6" s="92" t="n"/>
      <c r="Q6" s="92" t="n"/>
      <c r="R6" s="93" t="n"/>
    </row>
    <row r="7" ht="13.8" customHeight="1" s="83">
      <c r="B7" s="94" t="n"/>
      <c r="C7" s="95" t="n"/>
    </row>
    <row r="8" ht="13.8" customHeight="1" s="83">
      <c r="B8" s="96" t="inlineStr">
        <is>
          <t>WP</t>
        </is>
      </c>
      <c r="C8" s="97" t="inlineStr">
        <is>
          <t>Across WP</t>
        </is>
      </c>
      <c r="F8" s="98" t="inlineStr">
        <is>
          <t>Average Score</t>
        </is>
      </c>
      <c r="G8" s="99" t="inlineStr">
        <is>
          <t>Attractiveness</t>
        </is>
      </c>
      <c r="H8" s="100" t="n"/>
      <c r="I8" s="101" t="inlineStr">
        <is>
          <t>Environment</t>
        </is>
      </c>
      <c r="J8" s="100" t="n"/>
      <c r="K8" s="102" t="inlineStr">
        <is>
          <t>Resilience</t>
        </is>
      </c>
      <c r="L8" s="100" t="n"/>
      <c r="M8" s="102" t="inlineStr">
        <is>
          <t>Resources</t>
        </is>
      </c>
      <c r="N8" s="100" t="n"/>
      <c r="O8" s="99" t="inlineStr">
        <is>
          <t>Cohesion</t>
        </is>
      </c>
      <c r="P8" s="100" t="n"/>
      <c r="Q8" s="99" t="inlineStr">
        <is>
          <t>Well Being</t>
        </is>
      </c>
      <c r="R8" s="100" t="n"/>
      <c r="T8" s="103" t="inlineStr">
        <is>
          <t>Reviewed</t>
        </is>
      </c>
      <c r="U8" s="103" t="inlineStr">
        <is>
          <t>Review</t>
        </is>
      </c>
      <c r="V8" s="103" t="inlineStr">
        <is>
          <t>Content</t>
        </is>
      </c>
      <c r="W8" s="103" t="inlineStr">
        <is>
          <t>Title</t>
        </is>
      </c>
    </row>
    <row r="9" ht="13.8" customHeight="1" s="83">
      <c r="B9" s="96" t="inlineStr">
        <is>
          <t>LL</t>
        </is>
      </c>
      <c r="C9" s="97" t="inlineStr">
        <is>
          <t>Paris</t>
        </is>
      </c>
      <c r="F9" s="104" t="n"/>
      <c r="G9" s="105" t="inlineStr">
        <is>
          <t>Bld.</t>
        </is>
      </c>
      <c r="H9" s="105" t="inlineStr">
        <is>
          <t>Neig.</t>
        </is>
      </c>
      <c r="I9" s="106" t="inlineStr">
        <is>
          <t>Bld.</t>
        </is>
      </c>
      <c r="J9" s="106" t="inlineStr">
        <is>
          <t>Neig.</t>
        </is>
      </c>
      <c r="K9" s="105" t="inlineStr">
        <is>
          <t>Bld.</t>
        </is>
      </c>
      <c r="L9" s="105" t="inlineStr">
        <is>
          <t>Neig.</t>
        </is>
      </c>
      <c r="M9" s="106" t="inlineStr">
        <is>
          <t>Bld.</t>
        </is>
      </c>
      <c r="N9" s="106" t="inlineStr">
        <is>
          <t>Neig.</t>
        </is>
      </c>
      <c r="O9" s="105" t="inlineStr">
        <is>
          <t>Bld.</t>
        </is>
      </c>
      <c r="P9" s="105" t="inlineStr">
        <is>
          <t>Neig.</t>
        </is>
      </c>
      <c r="Q9" s="106" t="inlineStr">
        <is>
          <t>Bld.</t>
        </is>
      </c>
      <c r="R9" s="106" t="inlineStr">
        <is>
          <t>Neig.</t>
        </is>
      </c>
      <c r="T9" t="inlineStr">
        <is>
          <t>N</t>
        </is>
      </c>
      <c r="U9" t="inlineStr">
        <is>
          <t>9b2763acccbd</t>
        </is>
      </c>
      <c r="V9" t="inlineStr">
        <is>
          <t>Paris Budget</t>
        </is>
      </c>
      <c r="W9" t="inlineStr">
        <is>
          <t>Revamp parks for better usability.</t>
        </is>
      </c>
    </row>
    <row r="10" ht="13.8" customHeight="1" s="83">
      <c r="B10" s="96" t="inlineStr">
        <is>
          <t>Date</t>
        </is>
      </c>
      <c r="C10" s="107" t="inlineStr">
        <is>
          <t>September 14, 2025 - 06:15PM</t>
        </is>
      </c>
      <c r="F10" s="108">
        <f>LEFT(Definitions!B12,25)&amp;"…"</f>
        <v/>
      </c>
      <c r="G10" s="109">
        <f>IFERROR(AVERAGE(9b2763acccbd!C39),"")</f>
        <v/>
      </c>
      <c r="H10" s="109">
        <f>IFERROR(AVERAGE(9b2763acccbd!D39),"")</f>
        <v/>
      </c>
      <c r="I10" s="110">
        <f>IFERROR(AVERAGE(9b2763acccbd!E39),"")</f>
        <v/>
      </c>
      <c r="J10" s="110">
        <f>IFERROR(AVERAGE(9b2763acccbd!F39),"")</f>
        <v/>
      </c>
      <c r="K10" s="109">
        <f>IFERROR(AVERAGE(9b2763acccbd!G39),"")</f>
        <v/>
      </c>
      <c r="L10" s="109">
        <f>IFERROR(AVERAGE(9b2763acccbd!H39),"")</f>
        <v/>
      </c>
      <c r="M10" s="110">
        <f>IFERROR(AVERAGE(9b2763acccbd!I39),"")</f>
        <v/>
      </c>
      <c r="N10" s="110">
        <f>IFERROR(AVERAGE(9b2763acccbd!J39),"")</f>
        <v/>
      </c>
      <c r="O10" s="109">
        <f>IFERROR(AVERAGE(9b2763acccbd!K39),"")</f>
        <v/>
      </c>
      <c r="P10" s="109">
        <f>IFERROR(AVERAGE(9b2763acccbd!L39),"")</f>
        <v/>
      </c>
      <c r="Q10" s="110">
        <f>IFERROR(AVERAGE(9b2763acccbd!M39),"")</f>
        <v/>
      </c>
      <c r="R10" s="110">
        <f>IFERROR(AVERAGE(9b2763acccbd!N39),"")</f>
        <v/>
      </c>
    </row>
    <row r="11" ht="13.8" customHeight="1" s="83">
      <c r="B11" s="111" t="n"/>
      <c r="C11" s="95" t="n"/>
      <c r="F11" s="108">
        <f>LEFT(Definitions!B13,25)&amp;"…"</f>
        <v/>
      </c>
      <c r="G11" s="109">
        <f>IFERROR(AVERAGE(9b2763acccbd!C40),"")</f>
        <v/>
      </c>
      <c r="H11" s="109">
        <f>IFERROR(AVERAGE(9b2763acccbd!D40),"")</f>
        <v/>
      </c>
      <c r="I11" s="110">
        <f>IFERROR(AVERAGE(9b2763acccbd!E40),"")</f>
        <v/>
      </c>
      <c r="J11" s="110">
        <f>IFERROR(AVERAGE(9b2763acccbd!F40),"")</f>
        <v/>
      </c>
      <c r="K11" s="109">
        <f>IFERROR(AVERAGE(9b2763acccbd!G40),"")</f>
        <v/>
      </c>
      <c r="L11" s="109">
        <f>IFERROR(AVERAGE(9b2763acccbd!H40),"")</f>
        <v/>
      </c>
      <c r="M11" s="110">
        <f>IFERROR(AVERAGE(9b2763acccbd!I40),"")</f>
        <v/>
      </c>
      <c r="N11" s="110">
        <f>IFERROR(AVERAGE(9b2763acccbd!J40),"")</f>
        <v/>
      </c>
      <c r="O11" s="109">
        <f>IFERROR(AVERAGE(9b2763acccbd!K40),"")</f>
        <v/>
      </c>
      <c r="P11" s="109">
        <f>IFERROR(AVERAGE(9b2763acccbd!L40),"")</f>
        <v/>
      </c>
      <c r="Q11" s="110">
        <f>IFERROR(AVERAGE(9b2763acccbd!M40),"")</f>
        <v/>
      </c>
      <c r="R11" s="110">
        <f>IFERROR(AVERAGE(9b2763acccbd!N40),"")</f>
        <v/>
      </c>
    </row>
    <row r="12" ht="13.8" customHeight="1" s="83">
      <c r="B12" s="112" t="inlineStr">
        <is>
          <t>Author(s)</t>
        </is>
      </c>
      <c r="C12" s="97" t="inlineStr">
        <is>
          <t>Automated</t>
        </is>
      </c>
      <c r="F12" s="108">
        <f>LEFT(Definitions!B14,25)&amp;"…"</f>
        <v/>
      </c>
      <c r="G12" s="109">
        <f>IFERROR(AVERAGE(9b2763acccbd!C41),"")</f>
        <v/>
      </c>
      <c r="H12" s="109">
        <f>IFERROR(AVERAGE(9b2763acccbd!D41),"")</f>
        <v/>
      </c>
      <c r="I12" s="110">
        <f>IFERROR(AVERAGE(9b2763acccbd!E41),"")</f>
        <v/>
      </c>
      <c r="J12" s="110">
        <f>IFERROR(AVERAGE(9b2763acccbd!F41),"")</f>
        <v/>
      </c>
      <c r="K12" s="109">
        <f>IFERROR(AVERAGE(9b2763acccbd!G41),"")</f>
        <v/>
      </c>
      <c r="L12" s="109">
        <f>IFERROR(AVERAGE(9b2763acccbd!H41),"")</f>
        <v/>
      </c>
      <c r="M12" s="110">
        <f>IFERROR(AVERAGE(9b2763acccbd!I41),"")</f>
        <v/>
      </c>
      <c r="N12" s="110">
        <f>IFERROR(AVERAGE(9b2763acccbd!J41),"")</f>
        <v/>
      </c>
      <c r="O12" s="109">
        <f>IFERROR(AVERAGE(9b2763acccbd!K41),"")</f>
        <v/>
      </c>
      <c r="P12" s="109">
        <f>IFERROR(AVERAGE(9b2763acccbd!L41),"")</f>
        <v/>
      </c>
      <c r="Q12" s="110">
        <f>IFERROR(AVERAGE(9b2763acccbd!M41),"")</f>
        <v/>
      </c>
      <c r="R12" s="110">
        <f>IFERROR(AVERAGE(9b2763acccbd!N41),"")</f>
        <v/>
      </c>
    </row>
    <row r="13" ht="13.8" customHeight="1" s="83">
      <c r="B13" s="113" t="n"/>
      <c r="C13" s="97" t="n"/>
      <c r="F13" s="108">
        <f>LEFT(Definitions!B15,25)&amp;"…"</f>
        <v/>
      </c>
      <c r="G13" s="109">
        <f>IFERROR(AVERAGE(9b2763acccbd!C42),"")</f>
        <v/>
      </c>
      <c r="H13" s="109">
        <f>IFERROR(AVERAGE(9b2763acccbd!D42),"")</f>
        <v/>
      </c>
      <c r="I13" s="110">
        <f>IFERROR(AVERAGE(9b2763acccbd!E42),"")</f>
        <v/>
      </c>
      <c r="J13" s="110">
        <f>IFERROR(AVERAGE(9b2763acccbd!F42),"")</f>
        <v/>
      </c>
      <c r="K13" s="109">
        <f>IFERROR(AVERAGE(9b2763acccbd!G42),"")</f>
        <v/>
      </c>
      <c r="L13" s="109">
        <f>IFERROR(AVERAGE(9b2763acccbd!H42),"")</f>
        <v/>
      </c>
      <c r="M13" s="110">
        <f>IFERROR(AVERAGE(9b2763acccbd!I42),"")</f>
        <v/>
      </c>
      <c r="N13" s="110">
        <f>IFERROR(AVERAGE(9b2763acccbd!J42),"")</f>
        <v/>
      </c>
      <c r="O13" s="109">
        <f>IFERROR(AVERAGE(9b2763acccbd!K42),"")</f>
        <v/>
      </c>
      <c r="P13" s="109">
        <f>IFERROR(AVERAGE(9b2763acccbd!L42),"")</f>
        <v/>
      </c>
      <c r="Q13" s="110">
        <f>IFERROR(AVERAGE(9b2763acccbd!M42),"")</f>
        <v/>
      </c>
      <c r="R13" s="110">
        <f>IFERROR(AVERAGE(9b2763acccbd!N42),"")</f>
        <v/>
      </c>
    </row>
    <row r="14" ht="13.8" customHeight="1" s="83">
      <c r="B14" s="114" t="n"/>
      <c r="C14" s="97" t="n"/>
      <c r="F14" s="108">
        <f>LEFT(Definitions!B16,25)&amp;"…"</f>
        <v/>
      </c>
      <c r="G14" s="109">
        <f>IFERROR(AVERAGE(9b2763acccbd!C43),"")</f>
        <v/>
      </c>
      <c r="H14" s="109">
        <f>IFERROR(AVERAGE(9b2763acccbd!D43),"")</f>
        <v/>
      </c>
      <c r="I14" s="110">
        <f>IFERROR(AVERAGE(9b2763acccbd!E43),"")</f>
        <v/>
      </c>
      <c r="J14" s="110">
        <f>IFERROR(AVERAGE(9b2763acccbd!F43),"")</f>
        <v/>
      </c>
      <c r="K14" s="109">
        <f>IFERROR(AVERAGE(9b2763acccbd!G43),"")</f>
        <v/>
      </c>
      <c r="L14" s="109">
        <f>IFERROR(AVERAGE(9b2763acccbd!H43),"")</f>
        <v/>
      </c>
      <c r="M14" s="110">
        <f>IFERROR(AVERAGE(9b2763acccbd!I43),"")</f>
        <v/>
      </c>
      <c r="N14" s="110">
        <f>IFERROR(AVERAGE(9b2763acccbd!J43),"")</f>
        <v/>
      </c>
      <c r="O14" s="109">
        <f>IFERROR(AVERAGE(9b2763acccbd!K43),"")</f>
        <v/>
      </c>
      <c r="P14" s="109">
        <f>IFERROR(AVERAGE(9b2763acccbd!L43),"")</f>
        <v/>
      </c>
      <c r="Q14" s="110">
        <f>IFERROR(AVERAGE(9b2763acccbd!M43),"")</f>
        <v/>
      </c>
      <c r="R14" s="110">
        <f>IFERROR(AVERAGE(9b2763acccbd!N43),"")</f>
        <v/>
      </c>
    </row>
    <row r="15" ht="13.8" customHeight="1" s="83">
      <c r="B15" s="111" t="n"/>
      <c r="C15" s="95" t="n"/>
      <c r="F15" s="108">
        <f>LEFT(Definitions!B17,25)&amp;"…"</f>
        <v/>
      </c>
      <c r="G15" s="109">
        <f>IFERROR(AVERAGE(9b2763acccbd!C44),"")</f>
        <v/>
      </c>
      <c r="H15" s="109">
        <f>IFERROR(AVERAGE(9b2763acccbd!D44),"")</f>
        <v/>
      </c>
      <c r="I15" s="110">
        <f>IFERROR(AVERAGE(9b2763acccbd!E44),"")</f>
        <v/>
      </c>
      <c r="J15" s="110">
        <f>IFERROR(AVERAGE(9b2763acccbd!F44),"")</f>
        <v/>
      </c>
      <c r="K15" s="109">
        <f>IFERROR(AVERAGE(9b2763acccbd!G44),"")</f>
        <v/>
      </c>
      <c r="L15" s="109">
        <f>IFERROR(AVERAGE(9b2763acccbd!H44),"")</f>
        <v/>
      </c>
      <c r="M15" s="110">
        <f>IFERROR(AVERAGE(9b2763acccbd!I44),"")</f>
        <v/>
      </c>
      <c r="N15" s="110">
        <f>IFERROR(AVERAGE(9b2763acccbd!J44),"")</f>
        <v/>
      </c>
      <c r="O15" s="109">
        <f>IFERROR(AVERAGE(9b2763acccbd!K44),"")</f>
        <v/>
      </c>
      <c r="P15" s="109">
        <f>IFERROR(AVERAGE(9b2763acccbd!L44),"")</f>
        <v/>
      </c>
      <c r="Q15" s="110">
        <f>IFERROR(AVERAGE(9b2763acccbd!M44),"")</f>
        <v/>
      </c>
      <c r="R15" s="110">
        <f>IFERROR(AVERAGE(9b2763acccbd!N44),"")</f>
        <v/>
      </c>
    </row>
    <row r="16" ht="13.8" customHeight="1" s="83">
      <c r="B16" s="112" t="inlineStr">
        <is>
          <t>Checked</t>
        </is>
      </c>
      <c r="C16" s="97" t="n"/>
      <c r="F16" s="108">
        <f>LEFT(Definitions!B18,25)&amp;"…"</f>
        <v/>
      </c>
      <c r="G16" s="109">
        <f>IFERROR(AVERAGE(9b2763acccbd!C45),"")</f>
        <v/>
      </c>
      <c r="H16" s="109">
        <f>IFERROR(AVERAGE(9b2763acccbd!D45),"")</f>
        <v/>
      </c>
      <c r="I16" s="110">
        <f>IFERROR(AVERAGE(9b2763acccbd!E45),"")</f>
        <v/>
      </c>
      <c r="J16" s="110">
        <f>IFERROR(AVERAGE(9b2763acccbd!F45),"")</f>
        <v/>
      </c>
      <c r="K16" s="109">
        <f>IFERROR(AVERAGE(9b2763acccbd!G45),"")</f>
        <v/>
      </c>
      <c r="L16" s="109">
        <f>IFERROR(AVERAGE(9b2763acccbd!H45),"")</f>
        <v/>
      </c>
      <c r="M16" s="110">
        <f>IFERROR(AVERAGE(9b2763acccbd!I45),"")</f>
        <v/>
      </c>
      <c r="N16" s="110">
        <f>IFERROR(AVERAGE(9b2763acccbd!J45),"")</f>
        <v/>
      </c>
      <c r="O16" s="109">
        <f>IFERROR(AVERAGE(9b2763acccbd!K45),"")</f>
        <v/>
      </c>
      <c r="P16" s="109">
        <f>IFERROR(AVERAGE(9b2763acccbd!L45),"")</f>
        <v/>
      </c>
      <c r="Q16" s="110">
        <f>IFERROR(AVERAGE(9b2763acccbd!M45),"")</f>
        <v/>
      </c>
      <c r="R16" s="110">
        <f>IFERROR(AVERAGE(9b2763acccbd!N45),"")</f>
        <v/>
      </c>
    </row>
    <row r="17" ht="13.8" customHeight="1" s="83">
      <c r="B17" s="113" t="n"/>
      <c r="C17" s="97" t="n"/>
      <c r="F17" s="108">
        <f>LEFT(Definitions!B19,25)&amp;"…"</f>
        <v/>
      </c>
      <c r="G17" s="109">
        <f>IFERROR(AVERAGE(9b2763acccbd!C46),"")</f>
        <v/>
      </c>
      <c r="H17" s="109">
        <f>IFERROR(AVERAGE(9b2763acccbd!D46),"")</f>
        <v/>
      </c>
      <c r="I17" s="110">
        <f>IFERROR(AVERAGE(9b2763acccbd!E46),"")</f>
        <v/>
      </c>
      <c r="J17" s="110">
        <f>IFERROR(AVERAGE(9b2763acccbd!F46),"")</f>
        <v/>
      </c>
      <c r="K17" s="109">
        <f>IFERROR(AVERAGE(9b2763acccbd!G46),"")</f>
        <v/>
      </c>
      <c r="L17" s="109">
        <f>IFERROR(AVERAGE(9b2763acccbd!H46),"")</f>
        <v/>
      </c>
      <c r="M17" s="110">
        <f>IFERROR(AVERAGE(9b2763acccbd!I46),"")</f>
        <v/>
      </c>
      <c r="N17" s="110">
        <f>IFERROR(AVERAGE(9b2763acccbd!J46),"")</f>
        <v/>
      </c>
      <c r="O17" s="109">
        <f>IFERROR(AVERAGE(9b2763acccbd!K46),"")</f>
        <v/>
      </c>
      <c r="P17" s="109">
        <f>IFERROR(AVERAGE(9b2763acccbd!L46),"")</f>
        <v/>
      </c>
      <c r="Q17" s="110">
        <f>IFERROR(AVERAGE(9b2763acccbd!M46),"")</f>
        <v/>
      </c>
      <c r="R17" s="110">
        <f>IFERROR(AVERAGE(9b2763acccbd!N46),"")</f>
        <v/>
      </c>
    </row>
    <row r="18" ht="13.8" customHeight="1" s="83">
      <c r="B18" s="114" t="n"/>
      <c r="C18" s="97" t="n"/>
      <c r="F18" s="108">
        <f>LEFT(Definitions!B20,25)&amp;"…"</f>
        <v/>
      </c>
      <c r="G18" s="109">
        <f>IFERROR(AVERAGE(9b2763acccbd!C47),"")</f>
        <v/>
      </c>
      <c r="H18" s="109">
        <f>IFERROR(AVERAGE(9b2763acccbd!D47),"")</f>
        <v/>
      </c>
      <c r="I18" s="110">
        <f>IFERROR(AVERAGE(9b2763acccbd!E47),"")</f>
        <v/>
      </c>
      <c r="J18" s="110">
        <f>IFERROR(AVERAGE(9b2763acccbd!F47),"")</f>
        <v/>
      </c>
      <c r="K18" s="109">
        <f>IFERROR(AVERAGE(9b2763acccbd!G47),"")</f>
        <v/>
      </c>
      <c r="L18" s="109">
        <f>IFERROR(AVERAGE(9b2763acccbd!H47),"")</f>
        <v/>
      </c>
      <c r="M18" s="110">
        <f>IFERROR(AVERAGE(9b2763acccbd!I47),"")</f>
        <v/>
      </c>
      <c r="N18" s="110">
        <f>IFERROR(AVERAGE(9b2763acccbd!J47),"")</f>
        <v/>
      </c>
      <c r="O18" s="109">
        <f>IFERROR(AVERAGE(9b2763acccbd!K47),"")</f>
        <v/>
      </c>
      <c r="P18" s="109">
        <f>IFERROR(AVERAGE(9b2763acccbd!L47),"")</f>
        <v/>
      </c>
      <c r="Q18" s="110">
        <f>IFERROR(AVERAGE(9b2763acccbd!M47),"")</f>
        <v/>
      </c>
      <c r="R18" s="110">
        <f>IFERROR(AVERAGE(9b2763acccbd!N47),"")</f>
        <v/>
      </c>
    </row>
    <row r="19" ht="13.8" customHeight="1" s="83">
      <c r="B19" s="115" t="n"/>
      <c r="C19" s="95" t="n"/>
      <c r="F19" s="108">
        <f>LEFT(Definitions!B21,25)&amp;"…"</f>
        <v/>
      </c>
      <c r="G19" s="109">
        <f>IFERROR(AVERAGE(9b2763acccbd!C48),"")</f>
        <v/>
      </c>
      <c r="H19" s="109">
        <f>IFERROR(AVERAGE(9b2763acccbd!D48),"")</f>
        <v/>
      </c>
      <c r="I19" s="110">
        <f>IFERROR(AVERAGE(9b2763acccbd!E48),"")</f>
        <v/>
      </c>
      <c r="J19" s="110">
        <f>IFERROR(AVERAGE(9b2763acccbd!F48),"")</f>
        <v/>
      </c>
      <c r="K19" s="109">
        <f>IFERROR(AVERAGE(9b2763acccbd!G48),"")</f>
        <v/>
      </c>
      <c r="L19" s="109">
        <f>IFERROR(AVERAGE(9b2763acccbd!H48),"")</f>
        <v/>
      </c>
      <c r="M19" s="110">
        <f>IFERROR(AVERAGE(9b2763acccbd!I48),"")</f>
        <v/>
      </c>
      <c r="N19" s="110">
        <f>IFERROR(AVERAGE(9b2763acccbd!J48),"")</f>
        <v/>
      </c>
      <c r="O19" s="109">
        <f>IFERROR(AVERAGE(9b2763acccbd!K48),"")</f>
        <v/>
      </c>
      <c r="P19" s="109">
        <f>IFERROR(AVERAGE(9b2763acccbd!L48),"")</f>
        <v/>
      </c>
      <c r="Q19" s="110">
        <f>IFERROR(AVERAGE(9b2763acccbd!M48),"")</f>
        <v/>
      </c>
      <c r="R19" s="110">
        <f>IFERROR(AVERAGE(9b2763acccbd!N48),"")</f>
        <v/>
      </c>
    </row>
    <row r="20" ht="13.8" customHeight="1" s="83">
      <c r="B20" s="112" t="inlineStr">
        <is>
          <t>Validated</t>
        </is>
      </c>
      <c r="C20" s="97" t="n"/>
      <c r="F20" s="108">
        <f>LEFT(Definitions!B22,25)&amp;"…"</f>
        <v/>
      </c>
      <c r="G20" s="109">
        <f>IFERROR(AVERAGE(9b2763acccbd!C49),"")</f>
        <v/>
      </c>
      <c r="H20" s="109">
        <f>IFERROR(AVERAGE(9b2763acccbd!D49),"")</f>
        <v/>
      </c>
      <c r="I20" s="110">
        <f>IFERROR(AVERAGE(9b2763acccbd!E49),"")</f>
        <v/>
      </c>
      <c r="J20" s="110">
        <f>IFERROR(AVERAGE(9b2763acccbd!F49),"")</f>
        <v/>
      </c>
      <c r="K20" s="109">
        <f>IFERROR(AVERAGE(9b2763acccbd!G49),"")</f>
        <v/>
      </c>
      <c r="L20" s="109">
        <f>IFERROR(AVERAGE(9b2763acccbd!H49),"")</f>
        <v/>
      </c>
      <c r="M20" s="110">
        <f>IFERROR(AVERAGE(9b2763acccbd!I49),"")</f>
        <v/>
      </c>
      <c r="N20" s="110">
        <f>IFERROR(AVERAGE(9b2763acccbd!J49),"")</f>
        <v/>
      </c>
      <c r="O20" s="109">
        <f>IFERROR(AVERAGE(9b2763acccbd!K49),"")</f>
        <v/>
      </c>
      <c r="P20" s="109">
        <f>IFERROR(AVERAGE(9b2763acccbd!L49),"")</f>
        <v/>
      </c>
      <c r="Q20" s="110">
        <f>IFERROR(AVERAGE(9b2763acccbd!M49),"")</f>
        <v/>
      </c>
      <c r="R20" s="110">
        <f>IFERROR(AVERAGE(9b2763acccbd!N49),"")</f>
        <v/>
      </c>
    </row>
    <row r="21" ht="13.8" customHeight="1" s="83">
      <c r="B21" s="113" t="n"/>
      <c r="C21" s="97" t="n"/>
      <c r="F21" s="108">
        <f>LEFT(Definitions!B23,25)&amp;"…"</f>
        <v/>
      </c>
      <c r="G21" s="109">
        <f>IFERROR(AVERAGE(9b2763acccbd!C50),"")</f>
        <v/>
      </c>
      <c r="H21" s="109">
        <f>IFERROR(AVERAGE(9b2763acccbd!D50),"")</f>
        <v/>
      </c>
      <c r="I21" s="110">
        <f>IFERROR(AVERAGE(9b2763acccbd!E50),"")</f>
        <v/>
      </c>
      <c r="J21" s="110">
        <f>IFERROR(AVERAGE(9b2763acccbd!F50),"")</f>
        <v/>
      </c>
      <c r="K21" s="109">
        <f>IFERROR(AVERAGE(9b2763acccbd!G50),"")</f>
        <v/>
      </c>
      <c r="L21" s="109">
        <f>IFERROR(AVERAGE(9b2763acccbd!H50),"")</f>
        <v/>
      </c>
      <c r="M21" s="110">
        <f>IFERROR(AVERAGE(9b2763acccbd!I50),"")</f>
        <v/>
      </c>
      <c r="N21" s="110">
        <f>IFERROR(AVERAGE(9b2763acccbd!J50),"")</f>
        <v/>
      </c>
      <c r="O21" s="109">
        <f>IFERROR(AVERAGE(9b2763acccbd!K50),"")</f>
        <v/>
      </c>
      <c r="P21" s="109">
        <f>IFERROR(AVERAGE(9b2763acccbd!L50),"")</f>
        <v/>
      </c>
      <c r="Q21" s="110">
        <f>IFERROR(AVERAGE(9b2763acccbd!M50),"")</f>
        <v/>
      </c>
      <c r="R21" s="110">
        <f>IFERROR(AVERAGE(9b2763acccbd!N50),"")</f>
        <v/>
      </c>
    </row>
    <row r="22" ht="13.8" customHeight="1" s="83">
      <c r="B22" s="114" t="n"/>
      <c r="C22" s="97" t="n"/>
    </row>
    <row r="23" ht="13.5" customHeight="1" s="83"/>
    <row r="24" ht="15.75" customHeight="1" s="83">
      <c r="B24" s="116" t="inlineStr">
        <is>
          <t>Version of tool</t>
        </is>
      </c>
      <c r="C24" s="117" t="inlineStr">
        <is>
          <t>(15/11/2024)</t>
        </is>
      </c>
      <c r="F24" s="98" t="inlineStr">
        <is>
          <t>Number of count</t>
        </is>
      </c>
      <c r="G24" s="99" t="inlineStr">
        <is>
          <t>Attractiveness</t>
        </is>
      </c>
      <c r="H24" s="100" t="n"/>
      <c r="I24" s="101" t="inlineStr">
        <is>
          <t>Environment</t>
        </is>
      </c>
      <c r="J24" s="100" t="n"/>
      <c r="K24" s="102" t="inlineStr">
        <is>
          <t>Resilience</t>
        </is>
      </c>
      <c r="L24" s="100" t="n"/>
      <c r="M24" s="102" t="inlineStr">
        <is>
          <t>Resources</t>
        </is>
      </c>
      <c r="N24" s="100" t="n"/>
      <c r="O24" s="99" t="inlineStr">
        <is>
          <t>Cohesion</t>
        </is>
      </c>
      <c r="P24" s="100" t="n"/>
      <c r="Q24" s="99" t="inlineStr">
        <is>
          <t>Well Being</t>
        </is>
      </c>
      <c r="R24" s="100" t="n"/>
    </row>
    <row r="25" ht="13.8" customHeight="1" s="83">
      <c r="F25" s="104" t="n"/>
      <c r="G25" s="105" t="inlineStr">
        <is>
          <t>Bld.</t>
        </is>
      </c>
      <c r="H25" s="105" t="inlineStr">
        <is>
          <t>Neig.</t>
        </is>
      </c>
      <c r="I25" s="106" t="inlineStr">
        <is>
          <t>Bld.</t>
        </is>
      </c>
      <c r="J25" s="106" t="inlineStr">
        <is>
          <t>Neig.</t>
        </is>
      </c>
      <c r="K25" s="105" t="inlineStr">
        <is>
          <t>Bld.</t>
        </is>
      </c>
      <c r="L25" s="105" t="inlineStr">
        <is>
          <t>Neig.</t>
        </is>
      </c>
      <c r="M25" s="106" t="inlineStr">
        <is>
          <t>Bld.</t>
        </is>
      </c>
      <c r="N25" s="106" t="inlineStr">
        <is>
          <t>Neig.</t>
        </is>
      </c>
      <c r="O25" s="105" t="inlineStr">
        <is>
          <t>Bld.</t>
        </is>
      </c>
      <c r="P25" s="105" t="inlineStr">
        <is>
          <t>Neig.</t>
        </is>
      </c>
      <c r="Q25" s="106" t="inlineStr">
        <is>
          <t>Bld.</t>
        </is>
      </c>
      <c r="R25" s="106" t="inlineStr">
        <is>
          <t>Neig.</t>
        </is>
      </c>
    </row>
    <row r="26" ht="13.8" customHeight="1" s="83">
      <c r="F26" s="108">
        <f>F10</f>
        <v/>
      </c>
      <c r="G26" s="109">
        <f>IF(ISNUMBER(9b2763acccbd!C39),ISNUMBER(9b2763acccbd!C39),"")</f>
        <v/>
      </c>
      <c r="H26" s="109">
        <f>IF(ISNUMBER(9b2763acccbd!D39),ISNUMBER(9b2763acccbd!D39),"")</f>
        <v/>
      </c>
      <c r="I26" s="110">
        <f>IF(ISNUMBER(9b2763acccbd!E39),ISNUMBER(9b2763acccbd!E39),"")</f>
        <v/>
      </c>
      <c r="J26" s="110">
        <f>IF(ISNUMBER(9b2763acccbd!F39),ISNUMBER(9b2763acccbd!F39),"")</f>
        <v/>
      </c>
      <c r="K26" s="109">
        <f>IF(ISNUMBER(9b2763acccbd!G39),ISNUMBER(9b2763acccbd!G39),"")</f>
        <v/>
      </c>
      <c r="L26" s="109">
        <f>IF(ISNUMBER(9b2763acccbd!H39),ISNUMBER(9b2763acccbd!H39),"")</f>
        <v/>
      </c>
      <c r="M26" s="110">
        <f>IF(ISNUMBER(9b2763acccbd!I39),ISNUMBER(9b2763acccbd!I39),"")</f>
        <v/>
      </c>
      <c r="N26" s="110">
        <f>IF(ISNUMBER(9b2763acccbd!J39),ISNUMBER(9b2763acccbd!J39),"")</f>
        <v/>
      </c>
      <c r="O26" s="109">
        <f>IF(ISNUMBER(9b2763acccbd!K39),ISNUMBER(9b2763acccbd!K39),"")</f>
        <v/>
      </c>
      <c r="P26" s="109">
        <f>IF(ISNUMBER(9b2763acccbd!L39),ISNUMBER(9b2763acccbd!L39),"")</f>
        <v/>
      </c>
      <c r="Q26" s="110">
        <f>IF(ISNUMBER(9b2763acccbd!M39),ISNUMBER(9b2763acccbd!M39),"")</f>
        <v/>
      </c>
      <c r="R26" s="110">
        <f>IF(ISNUMBER(9b2763acccbd!N39),ISNUMBER(9b2763acccbd!N39),"")</f>
        <v/>
      </c>
    </row>
    <row r="27" ht="13.8" customHeight="1" s="83">
      <c r="F27" s="108">
        <f>F11</f>
        <v/>
      </c>
      <c r="G27" s="109">
        <f>IF(ISNUMBER(9b2763acccbd!C40),ISNUMBER(9b2763acccbd!C40),"")</f>
        <v/>
      </c>
      <c r="H27" s="109">
        <f>IF(ISNUMBER(9b2763acccbd!D40),ISNUMBER(9b2763acccbd!D40),"")</f>
        <v/>
      </c>
      <c r="I27" s="110">
        <f>IF(ISNUMBER(9b2763acccbd!E40),ISNUMBER(9b2763acccbd!E40),"")</f>
        <v/>
      </c>
      <c r="J27" s="110">
        <f>IF(ISNUMBER(9b2763acccbd!F40),ISNUMBER(9b2763acccbd!F40),"")</f>
        <v/>
      </c>
      <c r="K27" s="109">
        <f>IF(ISNUMBER(9b2763acccbd!G40),ISNUMBER(9b2763acccbd!G40),"")</f>
        <v/>
      </c>
      <c r="L27" s="109">
        <f>IF(ISNUMBER(9b2763acccbd!H40),ISNUMBER(9b2763acccbd!H40),"")</f>
        <v/>
      </c>
      <c r="M27" s="110">
        <f>IF(ISNUMBER(9b2763acccbd!I40),ISNUMBER(9b2763acccbd!I40),"")</f>
        <v/>
      </c>
      <c r="N27" s="110">
        <f>IF(ISNUMBER(9b2763acccbd!J40),ISNUMBER(9b2763acccbd!J40),"")</f>
        <v/>
      </c>
      <c r="O27" s="109">
        <f>IF(ISNUMBER(9b2763acccbd!K40),ISNUMBER(9b2763acccbd!K40),"")</f>
        <v/>
      </c>
      <c r="P27" s="109">
        <f>IF(ISNUMBER(9b2763acccbd!L40),ISNUMBER(9b2763acccbd!L40),"")</f>
        <v/>
      </c>
      <c r="Q27" s="110">
        <f>IF(ISNUMBER(9b2763acccbd!M40),ISNUMBER(9b2763acccbd!M40),"")</f>
        <v/>
      </c>
      <c r="R27" s="110">
        <f>IF(ISNUMBER(9b2763acccbd!N40),ISNUMBER(9b2763acccbd!N40),"")</f>
        <v/>
      </c>
    </row>
    <row r="28" ht="13.8" customHeight="1" s="83">
      <c r="F28" s="108">
        <f>F12</f>
        <v/>
      </c>
      <c r="G28" s="109">
        <f>IF(ISNUMBER(9b2763acccbd!C41),ISNUMBER(9b2763acccbd!C41),"")</f>
        <v/>
      </c>
      <c r="H28" s="109">
        <f>IF(ISNUMBER(9b2763acccbd!D41),ISNUMBER(9b2763acccbd!D41),"")</f>
        <v/>
      </c>
      <c r="I28" s="110">
        <f>IF(ISNUMBER(9b2763acccbd!E41),ISNUMBER(9b2763acccbd!E41),"")</f>
        <v/>
      </c>
      <c r="J28" s="110">
        <f>IF(ISNUMBER(9b2763acccbd!F41),ISNUMBER(9b2763acccbd!F41),"")</f>
        <v/>
      </c>
      <c r="K28" s="109">
        <f>IF(ISNUMBER(9b2763acccbd!G41),ISNUMBER(9b2763acccbd!G41),"")</f>
        <v/>
      </c>
      <c r="L28" s="109">
        <f>IF(ISNUMBER(9b2763acccbd!H41),ISNUMBER(9b2763acccbd!H41),"")</f>
        <v/>
      </c>
      <c r="M28" s="110">
        <f>IF(ISNUMBER(9b2763acccbd!I41),ISNUMBER(9b2763acccbd!I41),"")</f>
        <v/>
      </c>
      <c r="N28" s="110">
        <f>IF(ISNUMBER(9b2763acccbd!J41),ISNUMBER(9b2763acccbd!J41),"")</f>
        <v/>
      </c>
      <c r="O28" s="109">
        <f>IF(ISNUMBER(9b2763acccbd!K41),ISNUMBER(9b2763acccbd!K41),"")</f>
        <v/>
      </c>
      <c r="P28" s="109">
        <f>IF(ISNUMBER(9b2763acccbd!L41),ISNUMBER(9b2763acccbd!L41),"")</f>
        <v/>
      </c>
      <c r="Q28" s="110">
        <f>IF(ISNUMBER(9b2763acccbd!M41),ISNUMBER(9b2763acccbd!M41),"")</f>
        <v/>
      </c>
      <c r="R28" s="110">
        <f>IF(ISNUMBER(9b2763acccbd!N41),ISNUMBER(9b2763acccbd!N41),"")</f>
        <v/>
      </c>
    </row>
    <row r="29" ht="13.8" customHeight="1" s="83">
      <c r="F29" s="108">
        <f>F13</f>
        <v/>
      </c>
      <c r="G29" s="109">
        <f>IF(ISNUMBER(9b2763acccbd!C42),ISNUMBER(9b2763acccbd!C42),"")</f>
        <v/>
      </c>
      <c r="H29" s="109">
        <f>IF(ISNUMBER(9b2763acccbd!D42),ISNUMBER(9b2763acccbd!D42),"")</f>
        <v/>
      </c>
      <c r="I29" s="110">
        <f>IF(ISNUMBER(9b2763acccbd!E42),ISNUMBER(9b2763acccbd!E42),"")</f>
        <v/>
      </c>
      <c r="J29" s="110">
        <f>IF(ISNUMBER(9b2763acccbd!F42),ISNUMBER(9b2763acccbd!F42),"")</f>
        <v/>
      </c>
      <c r="K29" s="109">
        <f>IF(ISNUMBER(9b2763acccbd!G42),ISNUMBER(9b2763acccbd!G42),"")</f>
        <v/>
      </c>
      <c r="L29" s="109">
        <f>IF(ISNUMBER(9b2763acccbd!H42),ISNUMBER(9b2763acccbd!H42),"")</f>
        <v/>
      </c>
      <c r="M29" s="110">
        <f>IF(ISNUMBER(9b2763acccbd!I42),ISNUMBER(9b2763acccbd!I42),"")</f>
        <v/>
      </c>
      <c r="N29" s="110">
        <f>IF(ISNUMBER(9b2763acccbd!J42),ISNUMBER(9b2763acccbd!J42),"")</f>
        <v/>
      </c>
      <c r="O29" s="109">
        <f>IF(ISNUMBER(9b2763acccbd!K42),ISNUMBER(9b2763acccbd!K42),"")</f>
        <v/>
      </c>
      <c r="P29" s="109">
        <f>IF(ISNUMBER(9b2763acccbd!L42),ISNUMBER(9b2763acccbd!L42),"")</f>
        <v/>
      </c>
      <c r="Q29" s="110">
        <f>IF(ISNUMBER(9b2763acccbd!M42),ISNUMBER(9b2763acccbd!M42),"")</f>
        <v/>
      </c>
      <c r="R29" s="110">
        <f>IF(ISNUMBER(9b2763acccbd!N42),ISNUMBER(9b2763acccbd!N42),"")</f>
        <v/>
      </c>
    </row>
    <row r="30" ht="13.8" customHeight="1" s="83">
      <c r="F30" s="108">
        <f>F14</f>
        <v/>
      </c>
      <c r="G30" s="109">
        <f>IF(ISNUMBER(9b2763acccbd!C43),ISNUMBER(9b2763acccbd!C43),"")</f>
        <v/>
      </c>
      <c r="H30" s="109">
        <f>IF(ISNUMBER(9b2763acccbd!D43),ISNUMBER(9b2763acccbd!D43),"")</f>
        <v/>
      </c>
      <c r="I30" s="110">
        <f>IF(ISNUMBER(9b2763acccbd!E43),ISNUMBER(9b2763acccbd!E43),"")</f>
        <v/>
      </c>
      <c r="J30" s="110">
        <f>IF(ISNUMBER(9b2763acccbd!F43),ISNUMBER(9b2763acccbd!F43),"")</f>
        <v/>
      </c>
      <c r="K30" s="109">
        <f>IF(ISNUMBER(9b2763acccbd!G43),ISNUMBER(9b2763acccbd!G43),"")</f>
        <v/>
      </c>
      <c r="L30" s="109">
        <f>IF(ISNUMBER(9b2763acccbd!H43),ISNUMBER(9b2763acccbd!H43),"")</f>
        <v/>
      </c>
      <c r="M30" s="110">
        <f>IF(ISNUMBER(9b2763acccbd!I43),ISNUMBER(9b2763acccbd!I43),"")</f>
        <v/>
      </c>
      <c r="N30" s="110">
        <f>IF(ISNUMBER(9b2763acccbd!J43),ISNUMBER(9b2763acccbd!J43),"")</f>
        <v/>
      </c>
      <c r="O30" s="109">
        <f>IF(ISNUMBER(9b2763acccbd!K43),ISNUMBER(9b2763acccbd!K43),"")</f>
        <v/>
      </c>
      <c r="P30" s="109">
        <f>IF(ISNUMBER(9b2763acccbd!L43),ISNUMBER(9b2763acccbd!L43),"")</f>
        <v/>
      </c>
      <c r="Q30" s="110">
        <f>IF(ISNUMBER(9b2763acccbd!M43),ISNUMBER(9b2763acccbd!M43),"")</f>
        <v/>
      </c>
      <c r="R30" s="110">
        <f>IF(ISNUMBER(9b2763acccbd!N43),ISNUMBER(9b2763acccbd!N43),"")</f>
        <v/>
      </c>
    </row>
    <row r="31" ht="13.8" customHeight="1" s="83">
      <c r="F31" s="108">
        <f>F15</f>
        <v/>
      </c>
      <c r="G31" s="109">
        <f>IF(ISNUMBER(9b2763acccbd!C44),ISNUMBER(9b2763acccbd!C44),"")</f>
        <v/>
      </c>
      <c r="H31" s="109">
        <f>IF(ISNUMBER(9b2763acccbd!D44),ISNUMBER(9b2763acccbd!D44),"")</f>
        <v/>
      </c>
      <c r="I31" s="110">
        <f>IF(ISNUMBER(9b2763acccbd!E44),ISNUMBER(9b2763acccbd!E44),"")</f>
        <v/>
      </c>
      <c r="J31" s="110">
        <f>IF(ISNUMBER(9b2763acccbd!F44),ISNUMBER(9b2763acccbd!F44),"")</f>
        <v/>
      </c>
      <c r="K31" s="109">
        <f>IF(ISNUMBER(9b2763acccbd!G44),ISNUMBER(9b2763acccbd!G44),"")</f>
        <v/>
      </c>
      <c r="L31" s="109">
        <f>IF(ISNUMBER(9b2763acccbd!H44),ISNUMBER(9b2763acccbd!H44),"")</f>
        <v/>
      </c>
      <c r="M31" s="110">
        <f>IF(ISNUMBER(9b2763acccbd!I44),ISNUMBER(9b2763acccbd!I44),"")</f>
        <v/>
      </c>
      <c r="N31" s="110">
        <f>IF(ISNUMBER(9b2763acccbd!J44),ISNUMBER(9b2763acccbd!J44),"")</f>
        <v/>
      </c>
      <c r="O31" s="109">
        <f>IF(ISNUMBER(9b2763acccbd!K44),ISNUMBER(9b2763acccbd!K44),"")</f>
        <v/>
      </c>
      <c r="P31" s="109">
        <f>IF(ISNUMBER(9b2763acccbd!L44),ISNUMBER(9b2763acccbd!L44),"")</f>
        <v/>
      </c>
      <c r="Q31" s="110">
        <f>IF(ISNUMBER(9b2763acccbd!M44),ISNUMBER(9b2763acccbd!M44),"")</f>
        <v/>
      </c>
      <c r="R31" s="110">
        <f>IF(ISNUMBER(9b2763acccbd!N44),ISNUMBER(9b2763acccbd!N44),"")</f>
        <v/>
      </c>
    </row>
    <row r="32" ht="13.8" customHeight="1" s="83">
      <c r="F32" s="108">
        <f>F16</f>
        <v/>
      </c>
      <c r="G32" s="109">
        <f>IF(ISNUMBER(9b2763acccbd!C45),ISNUMBER(9b2763acccbd!C45),"")</f>
        <v/>
      </c>
      <c r="H32" s="109">
        <f>IF(ISNUMBER(9b2763acccbd!D45),ISNUMBER(9b2763acccbd!D45),"")</f>
        <v/>
      </c>
      <c r="I32" s="110">
        <f>IF(ISNUMBER(9b2763acccbd!E45),ISNUMBER(9b2763acccbd!E45),"")</f>
        <v/>
      </c>
      <c r="J32" s="110">
        <f>IF(ISNUMBER(9b2763acccbd!F45),ISNUMBER(9b2763acccbd!F45),"")</f>
        <v/>
      </c>
      <c r="K32" s="109">
        <f>IF(ISNUMBER(9b2763acccbd!G45),ISNUMBER(9b2763acccbd!G45),"")</f>
        <v/>
      </c>
      <c r="L32" s="109">
        <f>IF(ISNUMBER(9b2763acccbd!H45),ISNUMBER(9b2763acccbd!H45),"")</f>
        <v/>
      </c>
      <c r="M32" s="110">
        <f>IF(ISNUMBER(9b2763acccbd!I45),ISNUMBER(9b2763acccbd!I45),"")</f>
        <v/>
      </c>
      <c r="N32" s="110">
        <f>IF(ISNUMBER(9b2763acccbd!J45),ISNUMBER(9b2763acccbd!J45),"")</f>
        <v/>
      </c>
      <c r="O32" s="109">
        <f>IF(ISNUMBER(9b2763acccbd!K45),ISNUMBER(9b2763acccbd!K45),"")</f>
        <v/>
      </c>
      <c r="P32" s="109">
        <f>IF(ISNUMBER(9b2763acccbd!L45),ISNUMBER(9b2763acccbd!L45),"")</f>
        <v/>
      </c>
      <c r="Q32" s="110">
        <f>IF(ISNUMBER(9b2763acccbd!M45),ISNUMBER(9b2763acccbd!M45),"")</f>
        <v/>
      </c>
      <c r="R32" s="110">
        <f>IF(ISNUMBER(9b2763acccbd!N45),ISNUMBER(9b2763acccbd!N45),"")</f>
        <v/>
      </c>
    </row>
    <row r="33" ht="13.8" customHeight="1" s="83">
      <c r="F33" s="108">
        <f>F17</f>
        <v/>
      </c>
      <c r="G33" s="109">
        <f>IF(ISNUMBER(9b2763acccbd!C46),ISNUMBER(9b2763acccbd!C46),"")</f>
        <v/>
      </c>
      <c r="H33" s="109">
        <f>IF(ISNUMBER(9b2763acccbd!D46),ISNUMBER(9b2763acccbd!D46),"")</f>
        <v/>
      </c>
      <c r="I33" s="110">
        <f>IF(ISNUMBER(9b2763acccbd!E46),ISNUMBER(9b2763acccbd!E46),"")</f>
        <v/>
      </c>
      <c r="J33" s="110">
        <f>IF(ISNUMBER(9b2763acccbd!F46),ISNUMBER(9b2763acccbd!F46),"")</f>
        <v/>
      </c>
      <c r="K33" s="109">
        <f>IF(ISNUMBER(9b2763acccbd!G46),ISNUMBER(9b2763acccbd!G46),"")</f>
        <v/>
      </c>
      <c r="L33" s="109">
        <f>IF(ISNUMBER(9b2763acccbd!H46),ISNUMBER(9b2763acccbd!H46),"")</f>
        <v/>
      </c>
      <c r="M33" s="110">
        <f>IF(ISNUMBER(9b2763acccbd!I46),ISNUMBER(9b2763acccbd!I46),"")</f>
        <v/>
      </c>
      <c r="N33" s="110">
        <f>IF(ISNUMBER(9b2763acccbd!J46),ISNUMBER(9b2763acccbd!J46),"")</f>
        <v/>
      </c>
      <c r="O33" s="109">
        <f>IF(ISNUMBER(9b2763acccbd!K46),ISNUMBER(9b2763acccbd!K46),"")</f>
        <v/>
      </c>
      <c r="P33" s="109">
        <f>IF(ISNUMBER(9b2763acccbd!L46),ISNUMBER(9b2763acccbd!L46),"")</f>
        <v/>
      </c>
      <c r="Q33" s="110">
        <f>IF(ISNUMBER(9b2763acccbd!M46),ISNUMBER(9b2763acccbd!M46),"")</f>
        <v/>
      </c>
      <c r="R33" s="110">
        <f>IF(ISNUMBER(9b2763acccbd!N46),ISNUMBER(9b2763acccbd!N46),"")</f>
        <v/>
      </c>
    </row>
    <row r="34" ht="13.8" customHeight="1" s="83">
      <c r="F34" s="108">
        <f>F18</f>
        <v/>
      </c>
      <c r="G34" s="109">
        <f>IF(ISNUMBER(9b2763acccbd!C47),ISNUMBER(9b2763acccbd!C47),"")</f>
        <v/>
      </c>
      <c r="H34" s="109">
        <f>IF(ISNUMBER(9b2763acccbd!D47),ISNUMBER(9b2763acccbd!D47),"")</f>
        <v/>
      </c>
      <c r="I34" s="110">
        <f>IF(ISNUMBER(9b2763acccbd!E47),ISNUMBER(9b2763acccbd!E47),"")</f>
        <v/>
      </c>
      <c r="J34" s="110">
        <f>IF(ISNUMBER(9b2763acccbd!F47),ISNUMBER(9b2763acccbd!F47),"")</f>
        <v/>
      </c>
      <c r="K34" s="109">
        <f>IF(ISNUMBER(9b2763acccbd!G47),ISNUMBER(9b2763acccbd!G47),"")</f>
        <v/>
      </c>
      <c r="L34" s="109">
        <f>IF(ISNUMBER(9b2763acccbd!H47),ISNUMBER(9b2763acccbd!H47),"")</f>
        <v/>
      </c>
      <c r="M34" s="110">
        <f>IF(ISNUMBER(9b2763acccbd!I47),ISNUMBER(9b2763acccbd!I47),"")</f>
        <v/>
      </c>
      <c r="N34" s="110">
        <f>IF(ISNUMBER(9b2763acccbd!J47),ISNUMBER(9b2763acccbd!J47),"")</f>
        <v/>
      </c>
      <c r="O34" s="109">
        <f>IF(ISNUMBER(9b2763acccbd!K47),ISNUMBER(9b2763acccbd!K47),"")</f>
        <v/>
      </c>
      <c r="P34" s="109">
        <f>IF(ISNUMBER(9b2763acccbd!L47),ISNUMBER(9b2763acccbd!L47),"")</f>
        <v/>
      </c>
      <c r="Q34" s="110">
        <f>IF(ISNUMBER(9b2763acccbd!M47),ISNUMBER(9b2763acccbd!M47),"")</f>
        <v/>
      </c>
      <c r="R34" s="110">
        <f>IF(ISNUMBER(9b2763acccbd!N47),ISNUMBER(9b2763acccbd!N47),"")</f>
        <v/>
      </c>
    </row>
    <row r="35" ht="13.8" customHeight="1" s="83">
      <c r="F35" s="108">
        <f>F19</f>
        <v/>
      </c>
      <c r="G35" s="109">
        <f>IF(ISNUMBER(9b2763acccbd!C48),ISNUMBER(9b2763acccbd!C48),"")</f>
        <v/>
      </c>
      <c r="H35" s="109">
        <f>IF(ISNUMBER(9b2763acccbd!D48),ISNUMBER(9b2763acccbd!D48),"")</f>
        <v/>
      </c>
      <c r="I35" s="110">
        <f>IF(ISNUMBER(9b2763acccbd!E48),ISNUMBER(9b2763acccbd!E48),"")</f>
        <v/>
      </c>
      <c r="J35" s="110">
        <f>IF(ISNUMBER(9b2763acccbd!F48),ISNUMBER(9b2763acccbd!F48),"")</f>
        <v/>
      </c>
      <c r="K35" s="109">
        <f>IF(ISNUMBER(9b2763acccbd!G48),ISNUMBER(9b2763acccbd!G48),"")</f>
        <v/>
      </c>
      <c r="L35" s="109">
        <f>IF(ISNUMBER(9b2763acccbd!H48),ISNUMBER(9b2763acccbd!H48),"")</f>
        <v/>
      </c>
      <c r="M35" s="110">
        <f>IF(ISNUMBER(9b2763acccbd!I48),ISNUMBER(9b2763acccbd!I48),"")</f>
        <v/>
      </c>
      <c r="N35" s="110">
        <f>IF(ISNUMBER(9b2763acccbd!J48),ISNUMBER(9b2763acccbd!J48),"")</f>
        <v/>
      </c>
      <c r="O35" s="109">
        <f>IF(ISNUMBER(9b2763acccbd!K48),ISNUMBER(9b2763acccbd!K48),"")</f>
        <v/>
      </c>
      <c r="P35" s="109">
        <f>IF(ISNUMBER(9b2763acccbd!L48),ISNUMBER(9b2763acccbd!L48),"")</f>
        <v/>
      </c>
      <c r="Q35" s="110">
        <f>IF(ISNUMBER(9b2763acccbd!M48),ISNUMBER(9b2763acccbd!M48),"")</f>
        <v/>
      </c>
      <c r="R35" s="110">
        <f>IF(ISNUMBER(9b2763acccbd!N48),ISNUMBER(9b2763acccbd!N48),"")</f>
        <v/>
      </c>
    </row>
    <row r="36" ht="13.8" customHeight="1" s="83">
      <c r="F36" s="108">
        <f>F20</f>
        <v/>
      </c>
      <c r="G36" s="109">
        <f>IF(ISNUMBER(9b2763acccbd!C49),ISNUMBER(9b2763acccbd!C49),"")</f>
        <v/>
      </c>
      <c r="H36" s="109">
        <f>IF(ISNUMBER(9b2763acccbd!D49),ISNUMBER(9b2763acccbd!D49),"")</f>
        <v/>
      </c>
      <c r="I36" s="110">
        <f>IF(ISNUMBER(9b2763acccbd!E49),ISNUMBER(9b2763acccbd!E49),"")</f>
        <v/>
      </c>
      <c r="J36" s="110">
        <f>IF(ISNUMBER(9b2763acccbd!F49),ISNUMBER(9b2763acccbd!F49),"")</f>
        <v/>
      </c>
      <c r="K36" s="109">
        <f>IF(ISNUMBER(9b2763acccbd!G49),ISNUMBER(9b2763acccbd!G49),"")</f>
        <v/>
      </c>
      <c r="L36" s="109">
        <f>IF(ISNUMBER(9b2763acccbd!H49),ISNUMBER(9b2763acccbd!H49),"")</f>
        <v/>
      </c>
      <c r="M36" s="110">
        <f>IF(ISNUMBER(9b2763acccbd!I49),ISNUMBER(9b2763acccbd!I49),"")</f>
        <v/>
      </c>
      <c r="N36" s="110">
        <f>IF(ISNUMBER(9b2763acccbd!J49),ISNUMBER(9b2763acccbd!J49),"")</f>
        <v/>
      </c>
      <c r="O36" s="109">
        <f>IF(ISNUMBER(9b2763acccbd!K49),ISNUMBER(9b2763acccbd!K49),"")</f>
        <v/>
      </c>
      <c r="P36" s="109">
        <f>IF(ISNUMBER(9b2763acccbd!L49),ISNUMBER(9b2763acccbd!L49),"")</f>
        <v/>
      </c>
      <c r="Q36" s="110">
        <f>IF(ISNUMBER(9b2763acccbd!M49),ISNUMBER(9b2763acccbd!M49),"")</f>
        <v/>
      </c>
      <c r="R36" s="110">
        <f>IF(ISNUMBER(9b2763acccbd!N49),ISNUMBER(9b2763acccbd!N49),"")</f>
        <v/>
      </c>
    </row>
    <row r="37" ht="13.8" customHeight="1" s="83">
      <c r="F37" s="108">
        <f>F21</f>
        <v/>
      </c>
      <c r="G37" s="109">
        <f>IF(ISNUMBER(9b2763acccbd!C50),ISNUMBER(9b2763acccbd!C50),"")</f>
        <v/>
      </c>
      <c r="H37" s="109">
        <f>IF(ISNUMBER(9b2763acccbd!D50),ISNUMBER(9b2763acccbd!D50),"")</f>
        <v/>
      </c>
      <c r="I37" s="110">
        <f>IF(ISNUMBER(9b2763acccbd!E50),ISNUMBER(9b2763acccbd!E50),"")</f>
        <v/>
      </c>
      <c r="J37" s="110">
        <f>IF(ISNUMBER(9b2763acccbd!F50),ISNUMBER(9b2763acccbd!F50),"")</f>
        <v/>
      </c>
      <c r="K37" s="109">
        <f>IF(ISNUMBER(9b2763acccbd!G50),ISNUMBER(9b2763acccbd!G50),"")</f>
        <v/>
      </c>
      <c r="L37" s="109">
        <f>IF(ISNUMBER(9b2763acccbd!H50),ISNUMBER(9b2763acccbd!H50),"")</f>
        <v/>
      </c>
      <c r="M37" s="110">
        <f>IF(ISNUMBER(9b2763acccbd!I50),ISNUMBER(9b2763acccbd!I50),"")</f>
        <v/>
      </c>
      <c r="N37" s="110">
        <f>IF(ISNUMBER(9b2763acccbd!J50),ISNUMBER(9b2763acccbd!J50),"")</f>
        <v/>
      </c>
      <c r="O37" s="109">
        <f>IF(ISNUMBER(9b2763acccbd!K50),ISNUMBER(9b2763acccbd!K50),"")</f>
        <v/>
      </c>
      <c r="P37" s="109">
        <f>IF(ISNUMBER(9b2763acccbd!L50),ISNUMBER(9b2763acccbd!L50),"")</f>
        <v/>
      </c>
      <c r="Q37" s="110">
        <f>IF(ISNUMBER(9b2763acccbd!M50),ISNUMBER(9b2763acccbd!M50),"")</f>
        <v/>
      </c>
      <c r="R37" s="110">
        <f>IF(ISNUMBER(9b2763acccbd!N50),ISNUMBER(9b2763acccbd!N50),"")</f>
        <v/>
      </c>
    </row>
  </sheetData>
  <mergeCells count="20">
    <mergeCell ref="K24:L24"/>
    <mergeCell ref="O24:P24"/>
    <mergeCell ref="Q24:R24"/>
    <mergeCell ref="G6:R6"/>
    <mergeCell ref="G8:H8"/>
    <mergeCell ref="Q8:R8"/>
    <mergeCell ref="B2:C2"/>
    <mergeCell ref="F8:F9"/>
    <mergeCell ref="B20:B22"/>
    <mergeCell ref="B16:B18"/>
    <mergeCell ref="G24:H24"/>
    <mergeCell ref="K8:L8"/>
    <mergeCell ref="B12:B14"/>
    <mergeCell ref="I24:J24"/>
    <mergeCell ref="I8:J8"/>
    <mergeCell ref="M8:N8"/>
    <mergeCell ref="O8:P8"/>
    <mergeCell ref="M24:N24"/>
    <mergeCell ref="F2:R2"/>
    <mergeCell ref="F24:F25"/>
  </mergeCells>
  <printOptions horizontalCentered="1" verticalCentered="1" headings="0" gridLines="0" gridLinesSet="1"/>
  <pageMargins left="0.25" right="0.25" top="0.75" bottom="0.75" header="0.511811023622047" footer="0.511811023622047"/>
  <pageSetup orientation="landscape"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tabColor rgb="FFF8CBAD"/>
    <outlinePr summaryBelow="1" summaryRight="1"/>
    <pageSetUpPr fitToPage="0"/>
  </sheetPr>
  <dimension ref="B1:C16"/>
  <sheetViews>
    <sheetView showFormulas="0" showGridLines="1" showRowColHeaders="1" showZeros="1" rightToLeft="0" tabSelected="0" showOutlineSymbols="1" defaultGridColor="1" view="normal" topLeftCell="A6" colorId="64" zoomScale="100" zoomScaleNormal="100" zoomScalePageLayoutView="100" workbookViewId="0">
      <selection pane="topLeft" activeCell="M15" activeCellId="0" sqref="M15"/>
    </sheetView>
  </sheetViews>
  <sheetFormatPr baseColWidth="8" defaultColWidth="8.73046875" defaultRowHeight="15" zeroHeight="0" outlineLevelRow="0"/>
  <cols>
    <col width="1.85" customWidth="1" style="81" min="1" max="1"/>
    <col width="10.99" customWidth="1" style="81" min="2" max="2"/>
    <col width="41.57" customWidth="1" style="118" min="3" max="3"/>
  </cols>
  <sheetData>
    <row r="1" ht="15.75" customHeight="1" s="83">
      <c r="C1" s="119" t="inlineStr">
        <is>
          <t>How to use</t>
        </is>
      </c>
    </row>
    <row r="2" ht="9.75" customHeight="1" s="83"/>
    <row r="3" ht="15" customHeight="1" s="83">
      <c r="B3" s="120" t="inlineStr">
        <is>
          <t>Step</t>
        </is>
      </c>
      <c r="C3" s="121" t="inlineStr">
        <is>
          <t>Description</t>
        </is>
      </c>
    </row>
    <row r="4" ht="30" customHeight="1" s="83">
      <c r="B4" s="122" t="inlineStr">
        <is>
          <t>Step 1</t>
        </is>
      </c>
      <c r="C4" s="123" t="inlineStr">
        <is>
          <t>Author/user sends their text for review (use cases, visions, ….)</t>
        </is>
      </c>
    </row>
    <row r="5" ht="15" customHeight="1" s="83">
      <c r="B5" s="124" t="inlineStr">
        <is>
          <t>Step 2</t>
        </is>
      </c>
      <c r="C5" s="125" t="inlineStr">
        <is>
          <t>LJ processes the text and..</t>
        </is>
      </c>
    </row>
    <row r="6" ht="30" customHeight="1" s="83">
      <c r="B6" s="124" t="inlineStr">
        <is>
          <t>Step3</t>
        </is>
      </c>
      <c r="C6" s="125" t="inlineStr">
        <is>
          <t>A draft assessment is created, in an excel format, and sent back o the author</t>
        </is>
      </c>
    </row>
    <row r="7" ht="45" customHeight="1" s="83">
      <c r="B7" s="113" t="n"/>
      <c r="C7" s="126" t="inlineStr">
        <is>
          <t>The authors checks green tabs, and can edit cells in yellow such as this cell. Other cells should not be edited.</t>
        </is>
      </c>
    </row>
    <row r="8" ht="15" customHeight="1" s="83">
      <c r="B8" s="124" t="inlineStr">
        <is>
          <t>Step 4</t>
        </is>
      </c>
      <c r="C8" s="125" t="inlineStr">
        <is>
          <t>Author sends back edited excel.</t>
        </is>
      </c>
    </row>
    <row r="9" ht="30" customHeight="1" s="83">
      <c r="B9" s="124" t="inlineStr">
        <is>
          <t>Step 5</t>
        </is>
      </c>
      <c r="C9" s="125" t="inlineStr">
        <is>
          <t>LJ updates the data and generates the assessment report.</t>
        </is>
      </c>
    </row>
    <row r="10" ht="15" customHeight="1" s="83">
      <c r="B10" s="127" t="inlineStr">
        <is>
          <t>Step 6</t>
        </is>
      </c>
      <c r="C10" s="128" t="inlineStr">
        <is>
          <t>Author receives an updated assessment</t>
        </is>
      </c>
    </row>
    <row r="11" ht="9.75" customHeight="1" s="83"/>
    <row r="12" ht="15" customHeight="1" s="83">
      <c r="B12" s="88" t="inlineStr">
        <is>
          <t>Tabs</t>
        </is>
      </c>
      <c r="C12" s="129" t="inlineStr">
        <is>
          <t>Content</t>
        </is>
      </c>
    </row>
    <row r="13" ht="15" customHeight="1" s="83">
      <c r="B13" s="122" t="inlineStr">
        <is>
          <t>Green tabs</t>
        </is>
      </c>
      <c r="C13" s="130" t="inlineStr">
        <is>
          <t>Contains assessments</t>
        </is>
      </c>
    </row>
    <row r="14" ht="15" customHeight="1" s="83">
      <c r="B14" s="124" t="inlineStr">
        <is>
          <t>Blue tab</t>
        </is>
      </c>
      <c r="C14" s="131" t="inlineStr">
        <is>
          <t>Contains definition</t>
        </is>
      </c>
    </row>
    <row r="15" ht="15" customHeight="1" s="83">
      <c r="B15" s="124" t="inlineStr">
        <is>
          <t>Black tab</t>
        </is>
      </c>
      <c r="C15" s="131" t="inlineStr">
        <is>
          <t>Cover hsset</t>
        </is>
      </c>
    </row>
    <row r="16" ht="15" customHeight="1" s="83">
      <c r="B16" s="127" t="inlineStr">
        <is>
          <t>Orange tab</t>
        </is>
      </c>
      <c r="C16" s="132" t="inlineStr">
        <is>
          <t>How to and explanations</t>
        </is>
      </c>
    </row>
    <row r="17" ht="9.75" customHeight="1" s="83"/>
  </sheetData>
  <mergeCells count="1">
    <mergeCell ref="B6:B7"/>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1"/>
</worksheet>
</file>

<file path=xl/worksheets/sheet3.xml><?xml version="1.0" encoding="utf-8"?>
<worksheet xmlns="http://schemas.openxmlformats.org/spreadsheetml/2006/main">
  <sheetPr filterMode="0">
    <tabColor rgb="FFB4C7E7"/>
    <outlinePr summaryBelow="1" summaryRight="1"/>
    <pageSetUpPr fitToPage="1"/>
  </sheetPr>
  <dimension ref="A1:C23"/>
  <sheetViews>
    <sheetView showFormulas="0" showGridLines="0" showRowColHeaders="1" showZeros="1" rightToLeft="0" tabSelected="1" showOutlineSymbols="1" defaultGridColor="1" view="normal" topLeftCell="C9" colorId="64" zoomScale="100" zoomScaleNormal="100" zoomScalePageLayoutView="100" workbookViewId="0">
      <selection pane="topLeft" activeCell="C14" activeCellId="0" sqref="C14"/>
    </sheetView>
  </sheetViews>
  <sheetFormatPr baseColWidth="8" defaultColWidth="8.875" defaultRowHeight="15" zeroHeight="1" outlineLevelRow="0"/>
  <cols>
    <col width="2.57" customWidth="1" style="81" min="1" max="1"/>
    <col width="29.29" customWidth="1" style="81" min="2" max="2"/>
    <col width="121.57" customWidth="1" style="81" min="3" max="3"/>
    <col hidden="1" width="44" customWidth="1" style="81" min="4" max="4"/>
    <col hidden="1" width="8.859999999999999" customWidth="1" style="81" min="5" max="1024"/>
  </cols>
  <sheetData>
    <row r="1" ht="18.75" customHeight="1" s="83">
      <c r="A1" s="133" t="inlineStr">
        <is>
          <t>Definitions</t>
        </is>
      </c>
    </row>
    <row r="2" ht="15" customHeight="1" s="83">
      <c r="B2" s="134" t="inlineStr">
        <is>
          <t>As per https://www.iso.org/obp/ui/en/#iso:std:iso:37104:ed-1:v1:en</t>
        </is>
      </c>
    </row>
    <row r="3" ht="15" customHeight="1" s="83">
      <c r="A3" s="135" t="inlineStr">
        <is>
          <t>Purpose of sustainability</t>
        </is>
      </c>
      <c r="B3" s="136" t="n"/>
      <c r="C3" s="136" t="n"/>
    </row>
    <row r="4" ht="53.7" customHeight="1" s="83">
      <c r="A4" s="136" t="n"/>
      <c r="B4" s="137" t="inlineStr">
        <is>
          <t>Attractiveness</t>
        </is>
      </c>
      <c r="C4" s="138" t="inlineStr">
        <is>
          <t xml:space="preserve">represents a territory's capacity to draw and retain citizens, businesses, and other stakeholders through its appeal and dynamism. It encompasses economic vitality, cultural richness, sense of place and identity, quality of life features, and strategic connectivity. For green building neighborhoods specifically, attractiveness manifests through innovative sustainable architecture, integrated urban planning, cultural amenities, and infrastructure that enhances both livability and economic opportunities. The purpose focuses on creating spaces that are not just environmentally responsible but also economically vibrant and socially desirable. </t>
        </is>
      </c>
    </row>
    <row r="5" ht="43.25" customHeight="1" s="83">
      <c r="A5" s="136" t="n"/>
      <c r="B5" s="137" t="inlineStr">
        <is>
          <t>Preservation and improvement of environment</t>
        </is>
      </c>
      <c r="C5" s="138" t="inlineStr">
        <is>
          <t>focuses on enhancing environmental performance through specific measurable actions like reducing greenhouse gas emissions, protecting and restoring biodiversity and ecosystem services, and reducing health hazards. For GBNs, this translates into active environmental stewardship through building design, land use practices, and infrastructure that not only minimizes negative environmental impacts but actively contributes to ecological regeneration. This includes protecting ecosystems, managing plant and animal diversity, preserving migration corridors, and maintaining genetic diversity within urban contexts.</t>
        </is>
      </c>
    </row>
    <row r="6" ht="53.7" customHeight="1" s="83">
      <c r="A6" s="136" t="n"/>
      <c r="B6" s="137" t="inlineStr">
        <is>
          <t>Resilience</t>
        </is>
      </c>
      <c r="C6" s="138" t="inlineStr">
        <is>
          <t>refers to a community's adaptive capacity in complex and changing environments. For GBNs, this encompasses anticipating and adapting to climate change impacts, preparing for economic shocks and stresses, and developing social evolution strategies. The standard particularly emphasizes taking both short-term and long-term perspectives on planning, with key focuses on: Climate change mitigation and adaptation capabilities, Economic and social shock preparedness, Organizational crisis response and recovery, Ability to maintain essential functions during disruption, and Capacity to "degrade gracefully" when necessary. It emphasizes the importance of both physical infrastructure resilience and social resilience in creating sustainable communities.</t>
        </is>
      </c>
    </row>
    <row r="7" ht="64.15000000000001" customHeight="1" s="83">
      <c r="A7" s="136" t="n"/>
      <c r="B7" s="137" t="inlineStr">
        <is>
          <t>Responsible resource use</t>
        </is>
      </c>
      <c r="C7" s="138" t="inlineStr">
        <is>
          <t>focuses on sustainable consumption, distribution, and management of all resource types - natural, human, and financial. This purpose emphasizes: Improving land management practices, Reducing, reusing and recycling materials, Respecting resource scarcity (especially water and energy), Promoting sustainable production, storage and transport methods, a,d Implementing efficient waste management and circular economy principles. In the context of GBNs, this translates to smart resource management in building design and operations, efficient infrastructure systems, and the development of closed-loop resource cycles within neighborhoods. The standard highlights that responsible resource use requires considering both immediate consumption patterns and long-term resource availability.</t>
        </is>
      </c>
    </row>
    <row r="8" ht="53.7" customHeight="1" s="83">
      <c r="A8" s="136" t="n"/>
      <c r="B8" s="137" t="inlineStr">
        <is>
          <t>Social cohesion</t>
        </is>
      </c>
      <c r="C8" s="138" t="inlineStr">
        <is>
          <t>focuses on creating equitable access to services, fostering dialogue across community boundaries, and supporting diversity and inclusion. For GBNs, this means developing neighborhoods that promote social integration, preserve cultural heritage, strengthen community identity, and reduce inequalities. The standard emphasizes accessibility, cultural dialogue, and the creation of shared experiences that build a sense of belonging and enhance social mobility. This purpose recognizes that sustainable communities require strong social bonds and mutual understanding across different demographic groups, combining both physical design elements and social programs that encourage interaction and solidarity among residents.</t>
        </is>
      </c>
    </row>
    <row r="9" ht="53.7" customHeight="1" s="83">
      <c r="A9" s="136" t="n"/>
      <c r="B9" s="137" t="inlineStr">
        <is>
          <t>Well-being</t>
        </is>
      </c>
      <c r="C9" s="138" t="inlineStr">
        <is>
          <t>encompasses access to opportunities for quality of life enhancement, including education and professional training, a healthy environment, and improved living conditions. For GBNs, this translates into creating spaces that promote physical and mental health, safety, and community confidence. The standard highlights that well-being depends on tangible factors like environmental quality and access to services, as well as intangible elements like trust-building and collective maturity. This purpose recognizes that sustainable communities must actively contribute to residents' happiness, health, and overall life satisfaction through thoughtful design and service provision.</t>
        </is>
      </c>
    </row>
    <row r="10" ht="15" customHeight="1" s="83">
      <c r="B10" s="139" t="n"/>
    </row>
    <row r="11" ht="15" customHeight="1" s="83">
      <c r="A11" s="140" t="inlineStr">
        <is>
          <t>Sustainability issue</t>
        </is>
      </c>
      <c r="B11" s="141" t="n"/>
      <c r="C11" s="142" t="n"/>
    </row>
    <row r="12" ht="53.7" customHeight="1" s="83">
      <c r="A12" s="142" t="n"/>
      <c r="B12" s="137" t="inlineStr">
        <is>
          <t>Governance, empowerment and engagement</t>
        </is>
      </c>
      <c r="C12" s="138" t="inlineStr">
        <is>
          <t>defined as a systemic approach to engaging all interested parties in community decision-making and development. The standard emphasizes that governance models need to foster systematic stakeholder involvement at every level, from policy-making to project implementation. For GBNs, this means creating transparent structures that encourage participation, facilitate community input, and ensure accountability in the development and management of sustainable neighborhoods. The standard highlights this issue as fundamental to successful sustainable development, requiring clear roles, responsibilities, and mechanisms for inclusive decision-making.</t>
        </is>
      </c>
    </row>
    <row r="13" ht="43.25" customHeight="1" s="83">
      <c r="A13" s="142" t="n"/>
      <c r="B13" s="137" t="inlineStr">
        <is>
          <t>Education and capacity building</t>
        </is>
      </c>
      <c r="C13" s="138" t="inlineStr">
        <is>
          <t>is defined as an issue that focuses on raising awareness, knowledge and skills at all levels to contribute to sustainable development, smartness and resilience. The standard emphasizes that education and capacity building should help develop competencies across the community that enable better understanding and implementation of sustainability practices. For GBNs, this translates into developing training programs, knowledge sharing platforms, and skill development initiatives that strengthen the community's ability to implement and maintain sustainable practices in the built environment.</t>
        </is>
      </c>
    </row>
    <row r="14" ht="43.25" customHeight="1" s="83">
      <c r="A14" s="142" t="n"/>
      <c r="B14" s="137" t="inlineStr">
        <is>
          <t>Innovation, creativity and research</t>
        </is>
      </c>
      <c r="C14" s="138" t="inlineStr">
        <is>
          <t>focuses on developing new forms of cooperation and cutting-edge designs while balancing risk management and ethical considerations. For GBNs, this issue promotes innovative solutions through research and creative problem-solving, encouraging new approaches to sustainable development while ensuring proper consideration of outcomes and implications. The standard positions this as a key driver for developing novel solutions to community challenges while maintaining responsible implementation practices.</t>
        </is>
      </c>
    </row>
    <row r="15" ht="43.25" customHeight="1" s="83">
      <c r="A15" s="142" t="n"/>
      <c r="B15" s="137" t="inlineStr">
        <is>
          <t>Health and care in the community</t>
        </is>
      </c>
      <c r="C15" s="138" t="inlineStr">
        <is>
          <t>defined as a crucial element that maintains and improves both physical and mental health within the community, contributing to its well-being and resilience. The standard emphasizes the importance of healthcare accessibility, preventive practices, and the relationship between environmental quality and community health. For GBNs, this translates into designing spaces and services that promote healthy living, ensure equitable access to healthcare, and create environments that support both physical and mental wellness.</t>
        </is>
      </c>
    </row>
    <row r="16" ht="32.8" customHeight="1" s="83">
      <c r="A16" s="142" t="n"/>
      <c r="B16" s="137" t="inlineStr">
        <is>
          <t>Culture and community identity</t>
        </is>
      </c>
      <c r="C16" s="138" t="inlineStr">
        <is>
          <t>defined as preserving lifestyles, including intangible elements like practices, know-how, languages, spirituality, and customs, while allowing for the evolution of heritage and traditions. For GBNs, this means creating spaces that respect and enhance local cultural identity while remaining open to cultural development and change. The standard emphasizes that this issue is crucial for maintaining community distinctiveness while embracing sustainable development.</t>
        </is>
      </c>
    </row>
    <row r="17" ht="32.8" customHeight="1" s="83">
      <c r="A17" s="142" t="n"/>
      <c r="B17" s="137" t="inlineStr">
        <is>
          <t>Living together, interdependence and mutuality</t>
        </is>
      </c>
      <c r="C17" s="138" t="inlineStr">
        <is>
          <t>focuses on developing collective and collaborative lifestyles that produce mutual economic and social benefits. The standard emphasizes this issue's role in fostering inter-generational equity and social mobility through shared experiences and responsibilities. For GBNs, this translates into creating spaces and systems that encourage interaction, cooperation, and mutual support among community members while promoting inclusive social and economic development.</t>
        </is>
      </c>
    </row>
    <row r="18" ht="43.25" customHeight="1" s="83">
      <c r="A18" s="142" t="n"/>
      <c r="B18" s="137" t="inlineStr">
        <is>
          <t>Economy and sustainable production and consumption</t>
        </is>
      </c>
      <c r="C18" s="138" t="inlineStr">
        <is>
          <t>encompasses support for local production, consumption and exchange, promoting economic diversity, employment and employability. The standard emphasizes resource efficiency, life cycle approaches, and transparency as key factors. For GBNs, this means creating economic systems that support sustainable local businesses, encourage responsible consumption patterns, and provide diverse employment opportunities while considering environmental impacts throughout the production and consumption cycle.</t>
        </is>
      </c>
    </row>
    <row r="19" ht="32.8" customHeight="1" s="83">
      <c r="A19" s="142" t="n"/>
      <c r="B19" s="137" t="inlineStr">
        <is>
          <t>Living and working environment</t>
        </is>
      </c>
      <c r="C19" s="138" t="inlineStr">
        <is>
          <t>focuses on facilitating fair and equitable access to quality living and working conditions that meet stakeholder needs and expectations. For GBNs, this means creating spaces that balance environmental sustainability with quality of life, addressing issues like housing quality, workplace conditions, and access to amenities. The standard emphasizes this issue's importance in creating sustainable communities that support both residential well-being and economic activity.</t>
        </is>
      </c>
    </row>
    <row r="20" ht="53.7" customHeight="1" s="83">
      <c r="A20" s="142" t="n"/>
      <c r="B20" s="137" t="inlineStr">
        <is>
          <t>Safety and security</t>
        </is>
      </c>
      <c r="C20" s="138" t="inlineStr">
        <is>
          <t>addresses ensuring communities are considered safe, both internally by members and externally by outsiders. This includes enforcing the right to privacy, protecting public security, and preventing and managing risks within the community. Key aspects involve taking safety and security into account when planning land use, improving safety and preventing crime and violence for all, and enhancing the safety and welcoming nature of public spaces through policies. Assessing initiatives against this issue helps stakeholders understand how they are addressing safety, security and risk management for sustainable urban development.</t>
        </is>
      </c>
    </row>
    <row r="21" ht="53.7" customHeight="1" s="83">
      <c r="A21" s="142" t="n"/>
      <c r="B21" s="137" t="inlineStr">
        <is>
          <t>Biodiversity and ecosystem services</t>
        </is>
      </c>
      <c r="C21" s="138" t="inlineStr">
        <is>
          <t>focuses on the preservation and improvement of the local, regional and global environment, especially the protection, restoration and enhancement of biological diversity and ecosystem services. This includes maintaining the diversity of fauna, flora and genetic resources. Preserving biodiversity and ecosystem services is crucial to ensure safe and pleasant living conditions, and enhances the attractiveness of communities while strengthening their economic development. Key aspects involve assessing the loss of biodiversity and responding to related risks, as well as ensuring biodiversity and ecosystem services are considered major natural resources to be managed sustainably.</t>
        </is>
      </c>
    </row>
    <row r="22" ht="24" customHeight="1" s="83">
      <c r="A22" s="142" t="n"/>
      <c r="B22" s="137" t="inlineStr">
        <is>
          <t>Community smart infrastructures</t>
        </is>
      </c>
      <c r="C22" s="138" t="inlineStr">
        <is>
          <t xml:space="preserve">ensuring high-quality utilities and services that support sustainable community development. This includes urban water supply and wastewater treatment, waste collection and processing, energy production and distribution, and integration of digital communication networks. </t>
        </is>
      </c>
    </row>
    <row r="23" ht="36" customHeight="1" s="83">
      <c r="A23" s="142" t="n"/>
      <c r="B23" s="137" t="inlineStr">
        <is>
          <t>Mobility</t>
        </is>
      </c>
      <c r="C23" s="138" t="inlineStr">
        <is>
          <t xml:space="preserve">defined as the provision of safe, comfortable, comprehensive, dependable, efficient, accessible, affordable and appropriate mobility services for different age and special needs groups, particularly for persons with disabilities. This includes maintaining a reliable transport system, improving connectivity, encouraging non-motorized traffic like walking and cycling, and facilitating the transport of goods. </t>
        </is>
      </c>
    </row>
  </sheetData>
  <mergeCells count="1">
    <mergeCell ref="A1:C1"/>
  </mergeCells>
  <printOptions horizontalCentered="0" verticalCentered="0" headings="0" gridLines="0" gridLinesSet="1"/>
  <pageMargins left="0.7" right="0.7" top="0.75" bottom="0.75" header="0.511811023622047" footer="0.511811023622047"/>
  <pageSetup orientation="landscape"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tabColor rgb="FFC5E0B4"/>
    <outlinePr summaryBelow="1" summaryRight="1"/>
    <pageSetUpPr fitToPage="1"/>
  </sheetPr>
  <dimension ref="B2:N51"/>
  <sheetViews>
    <sheetView workbookViewId="0">
      <selection activeCell="A1" sqref="A1"/>
    </sheetView>
  </sheetViews>
  <sheetFormatPr baseColWidth="8" defaultColWidth="8.875" defaultRowHeight="15" zeroHeight="1" outlineLevelRow="0"/>
  <cols>
    <col width="3.57" customWidth="1" style="81" min="1" max="1"/>
    <col width="15.29" customWidth="1" style="81" min="2" max="2"/>
    <col width="8.710000000000001" customWidth="1" style="81" min="3" max="14"/>
    <col width="3.57" customWidth="1" style="81" min="15" max="15"/>
    <col hidden="1" width="11.57" customWidth="1" style="81" min="16" max="19"/>
    <col hidden="1" width="8.859999999999999" customWidth="1" style="81" min="20" max="1024"/>
  </cols>
  <sheetData>
    <row r="1" ht="3" customHeight="1" s="83"/>
    <row r="2" ht="15" customHeight="1" s="83">
      <c r="B2" s="84" t="inlineStr">
        <is>
          <t>Self assessment sheet</t>
        </is>
      </c>
    </row>
    <row r="3" ht="3" customHeight="1" s="83"/>
    <row r="4" ht="15" customHeight="1" s="83">
      <c r="B4" s="143" t="inlineStr">
        <is>
          <t>Activity</t>
        </is>
      </c>
      <c r="C4" s="144" t="inlineStr">
        <is>
          <t>Review of Paris Budget</t>
        </is>
      </c>
      <c r="D4" s="145" t="n"/>
      <c r="E4" s="145" t="n"/>
      <c r="F4" s="145" t="n"/>
      <c r="G4" s="145" t="n"/>
      <c r="H4" s="145" t="n"/>
      <c r="I4" s="145" t="n"/>
      <c r="J4" s="145" t="n"/>
      <c r="K4" s="145" t="n"/>
      <c r="L4" s="145" t="n"/>
      <c r="M4" s="145" t="n"/>
      <c r="N4" s="146" t="n"/>
    </row>
    <row r="5" ht="15" customHeight="1" s="83">
      <c r="B5" s="143" t="inlineStr">
        <is>
          <t>Title</t>
        </is>
      </c>
      <c r="C5" s="147" t="inlineStr">
        <is>
          <t>Revamp parks for better usability.</t>
        </is>
      </c>
      <c r="D5" s="92" t="n"/>
      <c r="E5" s="92" t="n"/>
      <c r="F5" s="92" t="n"/>
      <c r="G5" s="92" t="n"/>
      <c r="H5" s="92" t="n"/>
      <c r="I5" s="93" t="n"/>
      <c r="J5" s="148" t="inlineStr">
        <is>
          <t>ID:</t>
        </is>
      </c>
      <c r="K5" s="92" t="n"/>
      <c r="L5" s="149" t="inlineStr">
        <is>
          <t>9b2763acccbd</t>
        </is>
      </c>
      <c r="M5" s="92" t="n"/>
      <c r="N5" s="93" t="n"/>
    </row>
    <row r="6" ht="15" customHeight="1" s="83">
      <c r="B6" s="143" t="inlineStr">
        <is>
          <t>Deliverable</t>
        </is>
      </c>
      <c r="C6" s="147" t="inlineStr">
        <is>
          <t>Paris Budget</t>
        </is>
      </c>
      <c r="D6" s="92" t="n"/>
      <c r="E6" s="92" t="n"/>
      <c r="F6" s="92" t="n"/>
      <c r="G6" s="92" t="n"/>
      <c r="H6" s="92" t="n"/>
      <c r="I6" s="93" t="n"/>
      <c r="J6" s="148" t="inlineStr">
        <is>
          <t>LL:</t>
        </is>
      </c>
      <c r="K6" s="92" t="n"/>
      <c r="L6" s="147" t="inlineStr">
        <is>
          <t>Paris</t>
        </is>
      </c>
      <c r="M6" s="92" t="n"/>
      <c r="N6" s="93" t="n"/>
    </row>
    <row r="7" ht="13.5" customHeight="1" s="83">
      <c r="B7" s="150" t="inlineStr">
        <is>
          <t>Reviewed by</t>
        </is>
      </c>
      <c r="C7" s="147" t="n"/>
      <c r="D7" s="92" t="n"/>
      <c r="E7" s="92" t="n"/>
      <c r="F7" s="92" t="n"/>
      <c r="G7" s="92" t="n"/>
      <c r="H7" s="92" t="n"/>
      <c r="I7" s="93" t="n"/>
      <c r="J7" s="151" t="inlineStr">
        <is>
          <t>Date of review:</t>
        </is>
      </c>
      <c r="K7" s="93" t="n"/>
      <c r="L7" s="147" t="n"/>
      <c r="M7" s="92" t="n"/>
      <c r="N7" s="93" t="n"/>
    </row>
    <row r="8" ht="300.75" customHeight="1" s="83">
      <c r="B8" s="143" t="inlineStr">
        <is>
          <t>Review</t>
        </is>
      </c>
      <c r="C8" s="152" t="inlineStr">
        <is>
          <t>1/ Constat
Il s’agit de repenser globalement le square Raoul Nordling et le jardin Louis Majorelle, pour qu’ils répondent mieux à leurs usages :
- Le square Raoul Nordling (1 255 m²), est très utilisé par les familles. L'aire de jeux pour enfants est surchargée.
- Le jardin Louis Majorelle (2 700 m²), bien que deux fois plus grand est beaucoup moins fréquenté en raison des massifs compacts et d’entrées peu visibles depuis l’espace public et de sa non mise en valeur.
2/ Propositions
- Créer une 3ème aire de jeux pour enfants dans le square Raoul Nordling.
- Réaménager le jardin Louis Majorelle pour l’aérer et valoriser ses plantations.
3/ Conclusion
Ce projet déposé par le Conseil de Quartier Bastille-Popincourt vise à redonner de la convivialité et à embellir cet espace de plus de 4 000 m2 au pied de l'Eglise Ste-Marguerite.
Où en est ce projet ?
Jeudi 12 septembre 2019
La mairie du 11e a organisé deux réunions de concertation pour la définition du programme au printemps 2019. Les études sont en cours de réalisation</t>
        </is>
      </c>
      <c r="D8" s="145" t="n"/>
      <c r="E8" s="145" t="n"/>
      <c r="F8" s="145" t="n"/>
      <c r="G8" s="145" t="n"/>
      <c r="H8" s="145" t="n"/>
      <c r="I8" s="145" t="n"/>
      <c r="J8" s="145" t="n"/>
      <c r="K8" s="145" t="n"/>
      <c r="L8" s="145" t="n"/>
      <c r="M8" s="145" t="n"/>
      <c r="N8" s="146" t="n"/>
    </row>
    <row r="9" ht="9" customHeight="1" s="83"/>
    <row r="10" ht="13.5" customHeight="1" s="83">
      <c r="B10" s="153" t="inlineStr">
        <is>
          <t>ID</t>
        </is>
      </c>
      <c r="C10" s="153" t="inlineStr">
        <is>
          <t>Purp.</t>
        </is>
      </c>
      <c r="D10" s="153" t="inlineStr">
        <is>
          <t>Act.</t>
        </is>
      </c>
      <c r="E10" s="153" t="inlineStr">
        <is>
          <t>Bld.</t>
        </is>
      </c>
      <c r="F10" s="153" t="inlineStr">
        <is>
          <t>Neig.</t>
        </is>
      </c>
      <c r="G10" s="143" t="inlineStr">
        <is>
          <t>Justification</t>
        </is>
      </c>
      <c r="H10" s="154" t="n"/>
      <c r="I10" s="154" t="n"/>
      <c r="J10" s="154" t="n"/>
      <c r="K10" s="154" t="n"/>
      <c r="L10" s="154" t="n"/>
      <c r="M10" s="154" t="n"/>
      <c r="N10" s="155" t="n"/>
    </row>
    <row r="11" ht="100.8" customHeight="1" s="83">
      <c r="B11" s="156" t="inlineStr"/>
      <c r="C11" s="157" t="inlineStr">
        <is>
          <t>A1</t>
        </is>
      </c>
      <c r="D11" s="157" t="inlineStr">
        <is>
          <t>B8</t>
        </is>
      </c>
      <c r="E11" s="157" t="n"/>
      <c r="F11" s="157" t="n">
        <v>5</v>
      </c>
      <c r="G11" s="158" t="inlineStr">
        <is>
          <t>The proposal aims to enhance the usability and appeal of the square Raoul Nordling and the garden Louis Majorelle by adding a new playground and improving the existing garden. This will create a more vibrant and appealing community space, thus attracting more families and visitors. The emphasis on improving the size, visibility, and aesthetic quality of these spaces contributes significantly to the overall quality of life in the neighborhood.</t>
        </is>
      </c>
      <c r="H11" s="154" t="n"/>
      <c r="I11" s="154" t="n"/>
      <c r="J11" s="154" t="n"/>
      <c r="K11" s="154" t="n"/>
      <c r="L11" s="154" t="n"/>
      <c r="M11" s="154" t="n"/>
      <c r="N11" s="155" t="n"/>
    </row>
    <row r="12" ht="84.8" customHeight="1" s="83">
      <c r="B12" s="156" t="inlineStr"/>
      <c r="C12" s="157" t="inlineStr">
        <is>
          <t>A2</t>
        </is>
      </c>
      <c r="D12" s="157" t="inlineStr">
        <is>
          <t>B10</t>
        </is>
      </c>
      <c r="E12" s="157" t="n"/>
      <c r="F12" s="157" t="n">
        <v>4</v>
      </c>
      <c r="G12" s="158" t="inlineStr">
        <is>
          <t>The plan includes the intention to aerate and valorize the plantings in the Louis Majorelle garden, which can contribute to preserving biodiversity in urban settings. By enhancing the environment within these green spaces, it supports ecosystem services and promotes better environmental conditions for both flora and fauna.</t>
        </is>
      </c>
      <c r="H12" s="154" t="n"/>
      <c r="I12" s="154" t="n"/>
      <c r="J12" s="154" t="n"/>
      <c r="K12" s="154" t="n"/>
      <c r="L12" s="154" t="n"/>
      <c r="M12" s="154" t="n"/>
      <c r="N12" s="155" t="n"/>
    </row>
    <row r="13" ht="68.8" customHeight="1" s="83">
      <c r="B13" s="156" t="inlineStr"/>
      <c r="C13" s="157" t="inlineStr">
        <is>
          <t>A5</t>
        </is>
      </c>
      <c r="D13" s="157" t="inlineStr">
        <is>
          <t>B5</t>
        </is>
      </c>
      <c r="E13" s="157" t="n"/>
      <c r="F13" s="157" t="n">
        <v>4</v>
      </c>
      <c r="G13" s="158" t="inlineStr">
        <is>
          <t>The initiative aims to create convivial spaces that promote social interactions among community members, particularly families. By improving these public areas to be more welcoming and user-friendly, the project fosters a sense of belonging and community identity, essential for social cohesion.</t>
        </is>
      </c>
      <c r="H13" s="154" t="n"/>
      <c r="I13" s="154" t="n"/>
      <c r="J13" s="154" t="n"/>
      <c r="K13" s="154" t="n"/>
      <c r="L13" s="154" t="n"/>
      <c r="M13" s="154" t="n"/>
      <c r="N13" s="155" t="n"/>
    </row>
    <row r="14" ht="84.8" customHeight="1" s="83">
      <c r="B14" s="156" t="inlineStr"/>
      <c r="C14" s="157" t="inlineStr">
        <is>
          <t>A6</t>
        </is>
      </c>
      <c r="D14" s="157" t="inlineStr">
        <is>
          <t>B4</t>
        </is>
      </c>
      <c r="E14" s="157" t="n"/>
      <c r="F14" s="157" t="n">
        <v>5</v>
      </c>
      <c r="G14" s="158" t="inlineStr">
        <is>
          <t>By responding to the needs of families and enhancing play areas for children, the project directly contributes to the mental and physical well-being of the community. The improvements aim to create healthier outdoor environments where families can spend time together, positively impacting overall community health.</t>
        </is>
      </c>
      <c r="H14" s="154" t="n"/>
      <c r="I14" s="154" t="n"/>
      <c r="J14" s="154" t="n"/>
      <c r="K14" s="154" t="n"/>
      <c r="L14" s="154" t="n"/>
      <c r="M14" s="154" t="n"/>
      <c r="N14" s="155" t="n"/>
    </row>
    <row r="15" ht="68.8" customHeight="1" s="83">
      <c r="B15" s="156" t="inlineStr"/>
      <c r="C15" s="157" t="inlineStr">
        <is>
          <t>A3</t>
        </is>
      </c>
      <c r="D15" s="157" t="inlineStr">
        <is>
          <t>B6</t>
        </is>
      </c>
      <c r="E15" s="157" t="n"/>
      <c r="F15" s="157" t="n">
        <v>3</v>
      </c>
      <c r="G15" s="158" t="inlineStr">
        <is>
          <t>While not explicitly stated, improving community spaces contributes to building community resilience by encouraging interdependence and mutual support through communal areas for recreation and gathering, which can help reinforce social bonds in times of need.</t>
        </is>
      </c>
      <c r="H15" s="154" t="n"/>
      <c r="I15" s="154" t="n"/>
      <c r="J15" s="154" t="n"/>
      <c r="K15" s="154" t="n"/>
      <c r="L15" s="154" t="n"/>
      <c r="M15" s="154" t="n"/>
      <c r="N15" s="155" t="n"/>
    </row>
    <row r="16" ht="68.8" customHeight="1" s="83">
      <c r="B16" s="156" t="inlineStr"/>
      <c r="C16" s="157" t="inlineStr">
        <is>
          <t>A1</t>
        </is>
      </c>
      <c r="D16" s="157" t="inlineStr">
        <is>
          <t>B7</t>
        </is>
      </c>
      <c r="E16" s="157" t="n"/>
      <c r="F16" s="157" t="n">
        <v>3</v>
      </c>
      <c r="G16" s="158" t="inlineStr">
        <is>
          <t>The development of attractive community spaces can stimulate local economic activity by attracting visitors and supporting local businesses. Enhanced appeal through beautification allows for diverse opportunities for local commerce and engagement.</t>
        </is>
      </c>
      <c r="H16" s="154" t="n"/>
      <c r="I16" s="154" t="n"/>
      <c r="J16" s="154" t="n"/>
      <c r="K16" s="154" t="n"/>
      <c r="L16" s="154" t="n"/>
      <c r="M16" s="154" t="n"/>
      <c r="N16" s="155" t="n"/>
    </row>
    <row r="17" ht="52.8" customHeight="1" s="83">
      <c r="B17" s="156" t="inlineStr"/>
      <c r="C17" s="157" t="inlineStr">
        <is>
          <t>A4</t>
        </is>
      </c>
      <c r="D17" s="157" t="inlineStr">
        <is>
          <t>B11</t>
        </is>
      </c>
      <c r="E17" s="157" t="n"/>
      <c r="F17" s="157" t="n">
        <v>2</v>
      </c>
      <c r="G17" s="158" t="inlineStr">
        <is>
          <t>The project proposal may imply certain improvements in the infrastructure of the green spaces that can include better waste management and resource-efficient designs; however, specific strategies in this regard were not outlined.</t>
        </is>
      </c>
      <c r="H17" s="154" t="n"/>
      <c r="I17" s="154" t="n"/>
      <c r="J17" s="154" t="n"/>
      <c r="K17" s="154" t="n"/>
      <c r="L17" s="154" t="n"/>
      <c r="M17" s="154" t="n"/>
      <c r="N17" s="155" t="n"/>
    </row>
    <row r="18" ht="52.8" customHeight="1" s="83">
      <c r="B18" s="156" t="inlineStr"/>
      <c r="C18" s="157" t="inlineStr">
        <is>
          <t>A2</t>
        </is>
      </c>
      <c r="D18" s="157" t="inlineStr">
        <is>
          <t>B8</t>
        </is>
      </c>
      <c r="E18" s="157" t="n"/>
      <c r="F18" s="157" t="n">
        <v>3</v>
      </c>
      <c r="G18" s="158" t="inlineStr">
        <is>
          <t>By focusing on enhancing the garden and square, the project promotes a better living and working environment, encouraging people to utilize these spaces which better serve their needs and contribute positively to their lifestyle.</t>
        </is>
      </c>
      <c r="H18" s="154" t="n"/>
      <c r="I18" s="154" t="n"/>
      <c r="J18" s="154" t="n"/>
      <c r="K18" s="154" t="n"/>
      <c r="L18" s="154" t="n"/>
      <c r="M18" s="154" t="n"/>
      <c r="N18" s="155" t="n"/>
    </row>
    <row r="19" ht="52.8" customHeight="1" s="83">
      <c r="B19" s="156" t="inlineStr"/>
      <c r="C19" s="157" t="inlineStr">
        <is>
          <t>A5</t>
        </is>
      </c>
      <c r="D19" s="157" t="inlineStr">
        <is>
          <t>B1</t>
        </is>
      </c>
      <c r="E19" s="157" t="n"/>
      <c r="F19" s="157" t="n">
        <v>3</v>
      </c>
      <c r="G19" s="158" t="inlineStr">
        <is>
          <t>The involvement of the local council and the organization of public consultation meetings indicates a practice of governance that encourages community engagement in the decision-making process.</t>
        </is>
      </c>
      <c r="H19" s="154" t="n"/>
      <c r="I19" s="154" t="n"/>
      <c r="J19" s="154" t="n"/>
      <c r="K19" s="154" t="n"/>
      <c r="L19" s="154" t="n"/>
      <c r="M19" s="154" t="n"/>
      <c r="N19" s="155" t="n"/>
    </row>
    <row r="20" ht="15" customHeight="1" s="83">
      <c r="B20" s="156" t="n"/>
      <c r="C20" s="157" t="n"/>
      <c r="D20" s="157" t="n"/>
      <c r="E20" s="157" t="n"/>
      <c r="F20" s="157" t="n"/>
      <c r="G20" s="158" t="n"/>
      <c r="H20" s="154" t="n"/>
      <c r="I20" s="154" t="n"/>
      <c r="J20" s="154" t="n"/>
      <c r="K20" s="154" t="n"/>
      <c r="L20" s="154" t="n"/>
      <c r="M20" s="154" t="n"/>
      <c r="N20" s="155" t="n"/>
    </row>
    <row r="21" ht="9" customHeight="1" s="83"/>
    <row r="22" ht="14.25" customHeight="1" s="83">
      <c r="B22" s="159" t="inlineStr">
        <is>
          <t>Definitions</t>
        </is>
      </c>
      <c r="C22" s="160" t="inlineStr">
        <is>
          <t>A (Purposes)</t>
        </is>
      </c>
      <c r="D22" s="161" t="n"/>
      <c r="E22" s="161" t="n"/>
      <c r="F22" s="161" t="n"/>
      <c r="G22" s="161" t="n"/>
      <c r="H22" s="162" t="n"/>
      <c r="I22" s="163" t="inlineStr">
        <is>
          <t>B (Actions)</t>
        </is>
      </c>
      <c r="J22" s="161" t="n"/>
      <c r="K22" s="161" t="n"/>
      <c r="L22" s="161" t="n"/>
      <c r="M22" s="161" t="n"/>
      <c r="N22" s="162" t="n"/>
    </row>
    <row r="23" ht="14.25" customHeight="1" s="83">
      <c r="B23" s="164" t="n"/>
      <c r="C23" s="165" t="inlineStr">
        <is>
          <t>1.      Attractiveness</t>
        </is>
      </c>
      <c r="H23" s="166" t="n"/>
      <c r="I23" s="165" t="inlineStr">
        <is>
          <t>1.      Governance, empowerment, and engagement</t>
        </is>
      </c>
      <c r="N23" s="166" t="n"/>
    </row>
    <row r="24" ht="14.25" customHeight="1" s="83">
      <c r="B24" s="164" t="n"/>
      <c r="C24" s="165" t="inlineStr">
        <is>
          <t>2.      Preservation and improvement of the environment</t>
        </is>
      </c>
      <c r="H24" s="166" t="n"/>
      <c r="I24" s="167" t="inlineStr">
        <is>
          <t>2.      Education and capacity building</t>
        </is>
      </c>
      <c r="N24" s="166" t="n"/>
    </row>
    <row r="25" ht="14.25" customHeight="1" s="83">
      <c r="B25" s="164" t="n"/>
      <c r="C25" s="165" t="inlineStr">
        <is>
          <t>3.      Resilience</t>
        </is>
      </c>
      <c r="H25" s="166" t="n"/>
      <c r="I25" s="167" t="inlineStr">
        <is>
          <t>3.      Innovation, creativity, and research</t>
        </is>
      </c>
      <c r="N25" s="166" t="n"/>
    </row>
    <row r="26" ht="14.25" customHeight="1" s="83">
      <c r="B26" s="164" t="n"/>
      <c r="C26" s="165" t="inlineStr">
        <is>
          <t>4.      Responsible resource use</t>
        </is>
      </c>
      <c r="H26" s="166" t="n"/>
      <c r="I26" s="167" t="inlineStr">
        <is>
          <t>4.      Health and care in the community</t>
        </is>
      </c>
      <c r="N26" s="166" t="n"/>
    </row>
    <row r="27" ht="14.25" customHeight="1" s="83">
      <c r="B27" s="164" t="n"/>
      <c r="C27" s="165" t="inlineStr">
        <is>
          <t>5.      Social cohesion</t>
        </is>
      </c>
      <c r="H27" s="166" t="n"/>
      <c r="I27" s="167" t="inlineStr">
        <is>
          <t>5.      Culture and community identity</t>
        </is>
      </c>
      <c r="N27" s="166" t="n"/>
    </row>
    <row r="28" ht="14.25" customHeight="1" s="83">
      <c r="B28" s="164" t="n"/>
      <c r="C28" s="165" t="inlineStr">
        <is>
          <t>6.      Wellbeing</t>
        </is>
      </c>
      <c r="H28" s="166" t="n"/>
      <c r="I28" s="167" t="inlineStr">
        <is>
          <t>6.      Living together, interdependence and mutuality</t>
        </is>
      </c>
      <c r="N28" s="166" t="n"/>
    </row>
    <row r="29" ht="14.25" customHeight="1" s="83">
      <c r="B29" s="164" t="n"/>
      <c r="C29" s="165" t="n"/>
      <c r="H29" s="166" t="n"/>
      <c r="I29" s="167" t="inlineStr">
        <is>
          <t>7.      Economy and sustainable production and consumption</t>
        </is>
      </c>
      <c r="N29" s="166" t="n"/>
    </row>
    <row r="30" ht="14.25" customHeight="1" s="83">
      <c r="B30" s="164" t="n"/>
      <c r="C30" s="165" t="n"/>
      <c r="H30" s="166" t="n"/>
      <c r="I30" s="167" t="inlineStr">
        <is>
          <t>8.      Living and working environment</t>
        </is>
      </c>
      <c r="N30" s="166" t="n"/>
    </row>
    <row r="31" ht="14.25" customHeight="1" s="83">
      <c r="B31" s="164" t="n"/>
      <c r="C31" s="165" t="n"/>
      <c r="H31" s="166" t="n"/>
      <c r="I31" s="167" t="inlineStr">
        <is>
          <t>9.      Safety and security</t>
        </is>
      </c>
      <c r="N31" s="166" t="n"/>
    </row>
    <row r="32" ht="14.25" customHeight="1" s="83">
      <c r="B32" s="164" t="n"/>
      <c r="C32" s="165" t="n"/>
      <c r="H32" s="166" t="n"/>
      <c r="I32" s="167" t="inlineStr">
        <is>
          <t>10.   Biodiversity and ecosystem services</t>
        </is>
      </c>
      <c r="N32" s="166" t="n"/>
    </row>
    <row r="33" ht="14.25" customHeight="1" s="83">
      <c r="B33" s="164" t="n"/>
      <c r="C33" s="165" t="n"/>
      <c r="H33" s="166" t="n"/>
      <c r="I33" s="167" t="inlineStr">
        <is>
          <t>11.   Community smart infrastructures</t>
        </is>
      </c>
      <c r="N33" s="166" t="n"/>
    </row>
    <row r="34" ht="14.25" customHeight="1" s="83">
      <c r="B34" s="104" t="n"/>
      <c r="C34" s="168" t="n"/>
      <c r="D34" s="169" t="n"/>
      <c r="E34" s="169" t="n"/>
      <c r="F34" s="169" t="n"/>
      <c r="G34" s="169" t="n"/>
      <c r="H34" s="170" t="n"/>
      <c r="I34" s="171" t="inlineStr">
        <is>
          <t>12.   Mobility</t>
        </is>
      </c>
      <c r="J34" s="169" t="n"/>
      <c r="K34" s="169" t="n"/>
      <c r="L34" s="169" t="n"/>
      <c r="M34" s="169" t="n"/>
      <c r="N34" s="170" t="n"/>
    </row>
    <row r="35" ht="3" customHeight="1" s="83"/>
    <row r="36" ht="9" customHeight="1" s="83"/>
    <row r="37" ht="15" customHeight="1" s="83">
      <c r="B37" s="172" t="n"/>
      <c r="C37" s="99" t="inlineStr">
        <is>
          <t>A1</t>
        </is>
      </c>
      <c r="D37" s="100" t="n"/>
      <c r="E37" s="101" t="inlineStr">
        <is>
          <t>A2</t>
        </is>
      </c>
      <c r="F37" s="100" t="n"/>
      <c r="G37" s="102" t="inlineStr">
        <is>
          <t>A3</t>
        </is>
      </c>
      <c r="H37" s="100" t="n"/>
      <c r="I37" s="102" t="inlineStr">
        <is>
          <t>A4</t>
        </is>
      </c>
      <c r="J37" s="100" t="n"/>
      <c r="K37" s="99" t="inlineStr">
        <is>
          <t>A5</t>
        </is>
      </c>
      <c r="L37" s="100" t="n"/>
      <c r="M37" s="99" t="inlineStr">
        <is>
          <t>A6</t>
        </is>
      </c>
      <c r="N37" s="100" t="n"/>
    </row>
    <row r="38" ht="15" customHeight="1" s="83">
      <c r="B38" s="104" t="n"/>
      <c r="C38" s="105" t="inlineStr">
        <is>
          <t>Bld.</t>
        </is>
      </c>
      <c r="D38" s="105" t="inlineStr">
        <is>
          <t>Neig.</t>
        </is>
      </c>
      <c r="E38" s="106" t="inlineStr">
        <is>
          <t>Bld.</t>
        </is>
      </c>
      <c r="F38" s="106" t="inlineStr">
        <is>
          <t>Neig.</t>
        </is>
      </c>
      <c r="G38" s="105" t="inlineStr">
        <is>
          <t>Bld.</t>
        </is>
      </c>
      <c r="H38" s="105" t="inlineStr">
        <is>
          <t>Neig.</t>
        </is>
      </c>
      <c r="I38" s="106" t="inlineStr">
        <is>
          <t>Bld.</t>
        </is>
      </c>
      <c r="J38" s="106" t="inlineStr">
        <is>
          <t>Neig.</t>
        </is>
      </c>
      <c r="K38" s="105" t="inlineStr">
        <is>
          <t>Bld.</t>
        </is>
      </c>
      <c r="L38" s="105" t="inlineStr">
        <is>
          <t>Neig.</t>
        </is>
      </c>
      <c r="M38" s="106" t="inlineStr">
        <is>
          <t>Bld.</t>
        </is>
      </c>
      <c r="N38" s="106" t="inlineStr">
        <is>
          <t>Neig.</t>
        </is>
      </c>
    </row>
    <row r="39" ht="15" customHeight="1" s="83">
      <c r="B39" s="173" t="inlineStr">
        <is>
          <t>B1</t>
        </is>
      </c>
      <c r="C39" s="109">
        <f>IFERROR(AVERAGEIFS($E$11:$E$20,$C$11:$C$20,C$37,$D$11:$D$20,$B39),"")</f>
        <v/>
      </c>
      <c r="D39" s="109">
        <f>IFERROR(AVERAGEIFS($F$11:$F$20,$C$11:$C$20,C$37,$D$11:$D$20,$B39),"")</f>
        <v/>
      </c>
      <c r="E39" s="110">
        <f>IFERROR(AVERAGEIFS($E$11:$E$20,$C$11:$C$20,E$37,$D$11:$D$20,$B39),"")</f>
        <v/>
      </c>
      <c r="F39" s="110">
        <f>IFERROR(AVERAGEIFS($F$11:$F$20,$C$11:$C$20,E$37,$D$11:$D$20,$B39),"")</f>
        <v/>
      </c>
      <c r="G39" s="109">
        <f>IFERROR(AVERAGEIFS($E$11:$E$20,$C$11:$C$20,G$37,$D$11:$D$20,$B39),"")</f>
        <v/>
      </c>
      <c r="H39" s="109">
        <f>IFERROR(AVERAGEIFS($F$11:$F$20,$C$11:$C$20,G$37,$D$11:$D$20,$B39),"")</f>
        <v/>
      </c>
      <c r="I39" s="110">
        <f>IFERROR(AVERAGEIFS($E$11:$E$20,$C$11:$C$20,I$37,$D$11:$D$20,$B39),"")</f>
        <v/>
      </c>
      <c r="J39" s="110">
        <f>IFERROR(AVERAGEIFS($F$11:$F$20,$C$11:$C$20,I$37,$D$11:$D$20,$B39),"")</f>
        <v/>
      </c>
      <c r="K39" s="109">
        <f>IFERROR(AVERAGEIFS($E$11:$E$20,$C$11:$C$20,K$37,$D$11:$D$20,$B39),"")</f>
        <v/>
      </c>
      <c r="L39" s="109">
        <f>IFERROR(AVERAGEIFS($F$11:$F$20,$C$11:$C$20,K$37,$D$11:$D$20,$B39),"")</f>
        <v/>
      </c>
      <c r="M39" s="110">
        <f>IFERROR(AVERAGEIFS($E$11:$E$20,$C$11:$C$20,M$37,$D$11:$D$20,$B39),"")</f>
        <v/>
      </c>
      <c r="N39" s="110">
        <f>IFERROR(AVERAGEIFS($F$11:$F$20,$C$11:$C$20,M$37,$D$11:$D$20,$B39),"")</f>
        <v/>
      </c>
    </row>
    <row r="40" ht="15" customHeight="1" s="83">
      <c r="B40" s="173" t="inlineStr">
        <is>
          <t>B2</t>
        </is>
      </c>
      <c r="C40" s="109">
        <f>IFERROR(AVERAGEIFS($E$11:$E$20,$C$11:$C$20,C$37,$D$11:$D$20,$B40),"")</f>
        <v/>
      </c>
      <c r="D40" s="109">
        <f>IFERROR(AVERAGEIFS($F$11:$F$20,$C$11:$C$20,C$37,$D$11:$D$20,$B40),"")</f>
        <v/>
      </c>
      <c r="E40" s="110">
        <f>IFERROR(AVERAGEIFS($E$11:$E$20,$C$11:$C$20,E$37,$D$11:$D$20,$B40),"")</f>
        <v/>
      </c>
      <c r="F40" s="110">
        <f>IFERROR(AVERAGEIFS($F$11:$F$20,$C$11:$C$20,E$37,$D$11:$D$20,$B40),"")</f>
        <v/>
      </c>
      <c r="G40" s="109">
        <f>IFERROR(AVERAGEIFS($E$11:$E$20,$C$11:$C$20,G$37,$D$11:$D$20,$B40),"")</f>
        <v/>
      </c>
      <c r="H40" s="109">
        <f>IFERROR(AVERAGEIFS($F$11:$F$20,$C$11:$C$20,G$37,$D$11:$D$20,$B40),"")</f>
        <v/>
      </c>
      <c r="I40" s="110">
        <f>IFERROR(AVERAGEIFS($E$11:$E$20,$C$11:$C$20,I$37,$D$11:$D$20,$B40),"")</f>
        <v/>
      </c>
      <c r="J40" s="110">
        <f>IFERROR(AVERAGEIFS($F$11:$F$20,$C$11:$C$20,I$37,$D$11:$D$20,$B40),"")</f>
        <v/>
      </c>
      <c r="K40" s="109">
        <f>IFERROR(AVERAGEIFS($E$11:$E$20,$C$11:$C$20,K$37,$D$11:$D$20,$B40),"")</f>
        <v/>
      </c>
      <c r="L40" s="109">
        <f>IFERROR(AVERAGEIFS($F$11:$F$20,$C$11:$C$20,K$37,$D$11:$D$20,$B40),"")</f>
        <v/>
      </c>
      <c r="M40" s="110">
        <f>IFERROR(AVERAGEIFS($E$11:$E$20,$C$11:$C$20,M$37,$D$11:$D$20,$B40),"")</f>
        <v/>
      </c>
      <c r="N40" s="110">
        <f>IFERROR(AVERAGEIFS($F$11:$F$20,$C$11:$C$20,M$37,$D$11:$D$20,$B40),"")</f>
        <v/>
      </c>
    </row>
    <row r="41" ht="15" customHeight="1" s="83">
      <c r="B41" s="173" t="inlineStr">
        <is>
          <t>B3</t>
        </is>
      </c>
      <c r="C41" s="109">
        <f>IFERROR(AVERAGEIFS($E$11:$E$20,$C$11:$C$20,C$37,$D$11:$D$20,$B41),"")</f>
        <v/>
      </c>
      <c r="D41" s="109">
        <f>IFERROR(AVERAGEIFS($F$11:$F$20,$C$11:$C$20,C$37,$D$11:$D$20,$B41),"")</f>
        <v/>
      </c>
      <c r="E41" s="110">
        <f>IFERROR(AVERAGEIFS($E$11:$E$20,$C$11:$C$20,E$37,$D$11:$D$20,$B41),"")</f>
        <v/>
      </c>
      <c r="F41" s="110">
        <f>IFERROR(AVERAGEIFS($F$11:$F$20,$C$11:$C$20,E$37,$D$11:$D$20,$B41),"")</f>
        <v/>
      </c>
      <c r="G41" s="109">
        <f>IFERROR(AVERAGEIFS($E$11:$E$20,$C$11:$C$20,G$37,$D$11:$D$20,$B41),"")</f>
        <v/>
      </c>
      <c r="H41" s="109">
        <f>IFERROR(AVERAGEIFS($F$11:$F$20,$C$11:$C$20,G$37,$D$11:$D$20,$B41),"")</f>
        <v/>
      </c>
      <c r="I41" s="110">
        <f>IFERROR(AVERAGEIFS($E$11:$E$20,$C$11:$C$20,I$37,$D$11:$D$20,$B41),"")</f>
        <v/>
      </c>
      <c r="J41" s="110">
        <f>IFERROR(AVERAGEIFS($F$11:$F$20,$C$11:$C$20,I$37,$D$11:$D$20,$B41),"")</f>
        <v/>
      </c>
      <c r="K41" s="109">
        <f>IFERROR(AVERAGEIFS($E$11:$E$20,$C$11:$C$20,K$37,$D$11:$D$20,$B41),"")</f>
        <v/>
      </c>
      <c r="L41" s="109">
        <f>IFERROR(AVERAGEIFS($F$11:$F$20,$C$11:$C$20,K$37,$D$11:$D$20,$B41),"")</f>
        <v/>
      </c>
      <c r="M41" s="110">
        <f>IFERROR(AVERAGEIFS($E$11:$E$20,$C$11:$C$20,M$37,$D$11:$D$20,$B41),"")</f>
        <v/>
      </c>
      <c r="N41" s="110">
        <f>IFERROR(AVERAGEIFS($F$11:$F$20,$C$11:$C$20,M$37,$D$11:$D$20,$B41),"")</f>
        <v/>
      </c>
    </row>
    <row r="42" ht="15" customHeight="1" s="83">
      <c r="B42" s="173" t="inlineStr">
        <is>
          <t>B4</t>
        </is>
      </c>
      <c r="C42" s="109">
        <f>IFERROR(AVERAGEIFS($E$11:$E$20,$C$11:$C$20,C$37,$D$11:$D$20,$B42),"")</f>
        <v/>
      </c>
      <c r="D42" s="109">
        <f>IFERROR(AVERAGEIFS($F$11:$F$20,$C$11:$C$20,C$37,$D$11:$D$20,$B42),"")</f>
        <v/>
      </c>
      <c r="E42" s="110">
        <f>IFERROR(AVERAGEIFS($E$11:$E$20,$C$11:$C$20,E$37,$D$11:$D$20,$B42),"")</f>
        <v/>
      </c>
      <c r="F42" s="110">
        <f>IFERROR(AVERAGEIFS($F$11:$F$20,$C$11:$C$20,E$37,$D$11:$D$20,$B42),"")</f>
        <v/>
      </c>
      <c r="G42" s="109">
        <f>IFERROR(AVERAGEIFS($E$11:$E$20,$C$11:$C$20,G$37,$D$11:$D$20,$B42),"")</f>
        <v/>
      </c>
      <c r="H42" s="109">
        <f>IFERROR(AVERAGEIFS($F$11:$F$20,$C$11:$C$20,G$37,$D$11:$D$20,$B42),"")</f>
        <v/>
      </c>
      <c r="I42" s="110">
        <f>IFERROR(AVERAGEIFS($E$11:$E$20,$C$11:$C$20,I$37,$D$11:$D$20,$B42),"")</f>
        <v/>
      </c>
      <c r="J42" s="110">
        <f>IFERROR(AVERAGEIFS($F$11:$F$20,$C$11:$C$20,I$37,$D$11:$D$20,$B42),"")</f>
        <v/>
      </c>
      <c r="K42" s="109">
        <f>IFERROR(AVERAGEIFS($E$11:$E$20,$C$11:$C$20,K$37,$D$11:$D$20,$B42),"")</f>
        <v/>
      </c>
      <c r="L42" s="109">
        <f>IFERROR(AVERAGEIFS($F$11:$F$20,$C$11:$C$20,K$37,$D$11:$D$20,$B42),"")</f>
        <v/>
      </c>
      <c r="M42" s="110">
        <f>IFERROR(AVERAGEIFS($E$11:$E$20,$C$11:$C$20,M$37,$D$11:$D$20,$B42),"")</f>
        <v/>
      </c>
      <c r="N42" s="110">
        <f>IFERROR(AVERAGEIFS($F$11:$F$20,$C$11:$C$20,M$37,$D$11:$D$20,$B42),"")</f>
        <v/>
      </c>
    </row>
    <row r="43" ht="15" customHeight="1" s="83">
      <c r="B43" s="173" t="inlineStr">
        <is>
          <t>B5</t>
        </is>
      </c>
      <c r="C43" s="109">
        <f>IFERROR(AVERAGEIFS($E$11:$E$20,$C$11:$C$20,C$37,$D$11:$D$20,$B43),"")</f>
        <v/>
      </c>
      <c r="D43" s="109">
        <f>IFERROR(AVERAGEIFS($F$11:$F$20,$C$11:$C$20,C$37,$D$11:$D$20,$B43),"")</f>
        <v/>
      </c>
      <c r="E43" s="110">
        <f>IFERROR(AVERAGEIFS($E$11:$E$20,$C$11:$C$20,E$37,$D$11:$D$20,$B43),"")</f>
        <v/>
      </c>
      <c r="F43" s="110">
        <f>IFERROR(AVERAGEIFS($F$11:$F$20,$C$11:$C$20,E$37,$D$11:$D$20,$B43),"")</f>
        <v/>
      </c>
      <c r="G43" s="109">
        <f>IFERROR(AVERAGEIFS($E$11:$E$20,$C$11:$C$20,G$37,$D$11:$D$20,$B43),"")</f>
        <v/>
      </c>
      <c r="H43" s="109">
        <f>IFERROR(AVERAGEIFS($F$11:$F$20,$C$11:$C$20,G$37,$D$11:$D$20,$B43),"")</f>
        <v/>
      </c>
      <c r="I43" s="110">
        <f>IFERROR(AVERAGEIFS($E$11:$E$20,$C$11:$C$20,I$37,$D$11:$D$20,$B43),"")</f>
        <v/>
      </c>
      <c r="J43" s="110">
        <f>IFERROR(AVERAGEIFS($F$11:$F$20,$C$11:$C$20,I$37,$D$11:$D$20,$B43),"")</f>
        <v/>
      </c>
      <c r="K43" s="109">
        <f>IFERROR(AVERAGEIFS($E$11:$E$20,$C$11:$C$20,K$37,$D$11:$D$20,$B43),"")</f>
        <v/>
      </c>
      <c r="L43" s="109">
        <f>IFERROR(AVERAGEIFS($F$11:$F$20,$C$11:$C$20,K$37,$D$11:$D$20,$B43),"")</f>
        <v/>
      </c>
      <c r="M43" s="110">
        <f>IFERROR(AVERAGEIFS($E$11:$E$20,$C$11:$C$20,M$37,$D$11:$D$20,$B43),"")</f>
        <v/>
      </c>
      <c r="N43" s="110">
        <f>IFERROR(AVERAGEIFS($F$11:$F$20,$C$11:$C$20,M$37,$D$11:$D$20,$B43),"")</f>
        <v/>
      </c>
    </row>
    <row r="44" ht="15" customHeight="1" s="83">
      <c r="B44" s="173" t="inlineStr">
        <is>
          <t>B6</t>
        </is>
      </c>
      <c r="C44" s="109">
        <f>IFERROR(AVERAGEIFS($E$11:$E$20,$C$11:$C$20,C$37,$D$11:$D$20,$B44),"")</f>
        <v/>
      </c>
      <c r="D44" s="109">
        <f>IFERROR(AVERAGEIFS($F$11:$F$20,$C$11:$C$20,C$37,$D$11:$D$20,$B44),"")</f>
        <v/>
      </c>
      <c r="E44" s="110">
        <f>IFERROR(AVERAGEIFS($E$11:$E$20,$C$11:$C$20,E$37,$D$11:$D$20,$B44),"")</f>
        <v/>
      </c>
      <c r="F44" s="110">
        <f>IFERROR(AVERAGEIFS($F$11:$F$20,$C$11:$C$20,E$37,$D$11:$D$20,$B44),"")</f>
        <v/>
      </c>
      <c r="G44" s="109">
        <f>IFERROR(AVERAGEIFS($E$11:$E$20,$C$11:$C$20,G$37,$D$11:$D$20,$B44),"")</f>
        <v/>
      </c>
      <c r="H44" s="109">
        <f>IFERROR(AVERAGEIFS($F$11:$F$20,$C$11:$C$20,G$37,$D$11:$D$20,$B44),"")</f>
        <v/>
      </c>
      <c r="I44" s="110">
        <f>IFERROR(AVERAGEIFS($E$11:$E$20,$C$11:$C$20,I$37,$D$11:$D$20,$B44),"")</f>
        <v/>
      </c>
      <c r="J44" s="110">
        <f>IFERROR(AVERAGEIFS($F$11:$F$20,$C$11:$C$20,I$37,$D$11:$D$20,$B44),"")</f>
        <v/>
      </c>
      <c r="K44" s="109">
        <f>IFERROR(AVERAGEIFS($E$11:$E$20,$C$11:$C$20,K$37,$D$11:$D$20,$B44),"")</f>
        <v/>
      </c>
      <c r="L44" s="109">
        <f>IFERROR(AVERAGEIFS($F$11:$F$20,$C$11:$C$20,K$37,$D$11:$D$20,$B44),"")</f>
        <v/>
      </c>
      <c r="M44" s="110">
        <f>IFERROR(AVERAGEIFS($E$11:$E$20,$C$11:$C$20,M$37,$D$11:$D$20,$B44),"")</f>
        <v/>
      </c>
      <c r="N44" s="110">
        <f>IFERROR(AVERAGEIFS($F$11:$F$20,$C$11:$C$20,M$37,$D$11:$D$20,$B44),"")</f>
        <v/>
      </c>
    </row>
    <row r="45" ht="15" customHeight="1" s="83">
      <c r="B45" s="173" t="inlineStr">
        <is>
          <t>B7</t>
        </is>
      </c>
      <c r="C45" s="109">
        <f>IFERROR(AVERAGEIFS($E$11:$E$20,$C$11:$C$20,C$37,$D$11:$D$20,$B45),"")</f>
        <v/>
      </c>
      <c r="D45" s="109">
        <f>IFERROR(AVERAGEIFS($F$11:$F$20,$C$11:$C$20,C$37,$D$11:$D$20,$B45),"")</f>
        <v/>
      </c>
      <c r="E45" s="110">
        <f>IFERROR(AVERAGEIFS($E$11:$E$20,$C$11:$C$20,E$37,$D$11:$D$20,$B45),"")</f>
        <v/>
      </c>
      <c r="F45" s="110">
        <f>IFERROR(AVERAGEIFS($F$11:$F$20,$C$11:$C$20,E$37,$D$11:$D$20,$B45),"")</f>
        <v/>
      </c>
      <c r="G45" s="109">
        <f>IFERROR(AVERAGEIFS($E$11:$E$20,$C$11:$C$20,G$37,$D$11:$D$20,$B45),"")</f>
        <v/>
      </c>
      <c r="H45" s="109">
        <f>IFERROR(AVERAGEIFS($F$11:$F$20,$C$11:$C$20,G$37,$D$11:$D$20,$B45),"")</f>
        <v/>
      </c>
      <c r="I45" s="110">
        <f>IFERROR(AVERAGEIFS($E$11:$E$20,$C$11:$C$20,I$37,$D$11:$D$20,$B45),"")</f>
        <v/>
      </c>
      <c r="J45" s="110">
        <f>IFERROR(AVERAGEIFS($F$11:$F$20,$C$11:$C$20,I$37,$D$11:$D$20,$B45),"")</f>
        <v/>
      </c>
      <c r="K45" s="109">
        <f>IFERROR(AVERAGEIFS($E$11:$E$20,$C$11:$C$20,K$37,$D$11:$D$20,$B45),"")</f>
        <v/>
      </c>
      <c r="L45" s="109">
        <f>IFERROR(AVERAGEIFS($F$11:$F$20,$C$11:$C$20,K$37,$D$11:$D$20,$B45),"")</f>
        <v/>
      </c>
      <c r="M45" s="110">
        <f>IFERROR(AVERAGEIFS($E$11:$E$20,$C$11:$C$20,M$37,$D$11:$D$20,$B45),"")</f>
        <v/>
      </c>
      <c r="N45" s="110">
        <f>IFERROR(AVERAGEIFS($F$11:$F$20,$C$11:$C$20,M$37,$D$11:$D$20,$B45),"")</f>
        <v/>
      </c>
    </row>
    <row r="46" ht="15" customHeight="1" s="83">
      <c r="B46" s="173" t="inlineStr">
        <is>
          <t>B8</t>
        </is>
      </c>
      <c r="C46" s="109">
        <f>IFERROR(AVERAGEIFS($E$11:$E$20,$C$11:$C$20,C$37,$D$11:$D$20,$B46),"")</f>
        <v/>
      </c>
      <c r="D46" s="109">
        <f>IFERROR(AVERAGEIFS($F$11:$F$20,$C$11:$C$20,C$37,$D$11:$D$20,$B46),"")</f>
        <v/>
      </c>
      <c r="E46" s="110">
        <f>IFERROR(AVERAGEIFS($E$11:$E$20,$C$11:$C$20,E$37,$D$11:$D$20,$B46),"")</f>
        <v/>
      </c>
      <c r="F46" s="110">
        <f>IFERROR(AVERAGEIFS($F$11:$F$20,$C$11:$C$20,E$37,$D$11:$D$20,$B46),"")</f>
        <v/>
      </c>
      <c r="G46" s="109">
        <f>IFERROR(AVERAGEIFS($E$11:$E$20,$C$11:$C$20,G$37,$D$11:$D$20,$B46),"")</f>
        <v/>
      </c>
      <c r="H46" s="109">
        <f>IFERROR(AVERAGEIFS($F$11:$F$20,$C$11:$C$20,G$37,$D$11:$D$20,$B46),"")</f>
        <v/>
      </c>
      <c r="I46" s="110">
        <f>IFERROR(AVERAGEIFS($E$11:$E$20,$C$11:$C$20,I$37,$D$11:$D$20,$B46),"")</f>
        <v/>
      </c>
      <c r="J46" s="110">
        <f>IFERROR(AVERAGEIFS($F$11:$F$20,$C$11:$C$20,I$37,$D$11:$D$20,$B46),"")</f>
        <v/>
      </c>
      <c r="K46" s="109">
        <f>IFERROR(AVERAGEIFS($E$11:$E$20,$C$11:$C$20,K$37,$D$11:$D$20,$B46),"")</f>
        <v/>
      </c>
      <c r="L46" s="109">
        <f>IFERROR(AVERAGEIFS($F$11:$F$20,$C$11:$C$20,K$37,$D$11:$D$20,$B46),"")</f>
        <v/>
      </c>
      <c r="M46" s="110">
        <f>IFERROR(AVERAGEIFS($E$11:$E$20,$C$11:$C$20,M$37,$D$11:$D$20,$B46),"")</f>
        <v/>
      </c>
      <c r="N46" s="110">
        <f>IFERROR(AVERAGEIFS($F$11:$F$20,$C$11:$C$20,M$37,$D$11:$D$20,$B46),"")</f>
        <v/>
      </c>
    </row>
    <row r="47" ht="15" customHeight="1" s="83">
      <c r="B47" s="173" t="inlineStr">
        <is>
          <t>B9</t>
        </is>
      </c>
      <c r="C47" s="109">
        <f>IFERROR(AVERAGEIFS($E$11:$E$20,$C$11:$C$20,C$37,$D$11:$D$20,$B47),"")</f>
        <v/>
      </c>
      <c r="D47" s="109">
        <f>IFERROR(AVERAGEIFS($F$11:$F$20,$C$11:$C$20,C$37,$D$11:$D$20,$B47),"")</f>
        <v/>
      </c>
      <c r="E47" s="110">
        <f>IFERROR(AVERAGEIFS($E$11:$E$20,$C$11:$C$20,E$37,$D$11:$D$20,$B47),"")</f>
        <v/>
      </c>
      <c r="F47" s="110">
        <f>IFERROR(AVERAGEIFS($F$11:$F$20,$C$11:$C$20,E$37,$D$11:$D$20,$B47),"")</f>
        <v/>
      </c>
      <c r="G47" s="109">
        <f>IFERROR(AVERAGEIFS($E$11:$E$20,$C$11:$C$20,G$37,$D$11:$D$20,$B47),"")</f>
        <v/>
      </c>
      <c r="H47" s="109">
        <f>IFERROR(AVERAGEIFS($F$11:$F$20,$C$11:$C$20,G$37,$D$11:$D$20,$B47),"")</f>
        <v/>
      </c>
      <c r="I47" s="110">
        <f>IFERROR(AVERAGEIFS($E$11:$E$20,$C$11:$C$20,I$37,$D$11:$D$20,$B47),"")</f>
        <v/>
      </c>
      <c r="J47" s="110">
        <f>IFERROR(AVERAGEIFS($F$11:$F$20,$C$11:$C$20,I$37,$D$11:$D$20,$B47),"")</f>
        <v/>
      </c>
      <c r="K47" s="109">
        <f>IFERROR(AVERAGEIFS($E$11:$E$20,$C$11:$C$20,K$37,$D$11:$D$20,$B47),"")</f>
        <v/>
      </c>
      <c r="L47" s="109">
        <f>IFERROR(AVERAGEIFS($F$11:$F$20,$C$11:$C$20,K$37,$D$11:$D$20,$B47),"")</f>
        <v/>
      </c>
      <c r="M47" s="110">
        <f>IFERROR(AVERAGEIFS($E$11:$E$20,$C$11:$C$20,M$37,$D$11:$D$20,$B47),"")</f>
        <v/>
      </c>
      <c r="N47" s="110">
        <f>IFERROR(AVERAGEIFS($F$11:$F$20,$C$11:$C$20,M$37,$D$11:$D$20,$B47),"")</f>
        <v/>
      </c>
    </row>
    <row r="48" ht="15" customHeight="1" s="83">
      <c r="B48" s="173" t="inlineStr">
        <is>
          <t>B10</t>
        </is>
      </c>
      <c r="C48" s="109">
        <f>IFERROR(AVERAGEIFS($E$11:$E$20,$C$11:$C$20,C$37,$D$11:$D$20,$B48),"")</f>
        <v/>
      </c>
      <c r="D48" s="109">
        <f>IFERROR(AVERAGEIFS($F$11:$F$20,$C$11:$C$20,C$37,$D$11:$D$20,$B48),"")</f>
        <v/>
      </c>
      <c r="E48" s="110">
        <f>IFERROR(AVERAGEIFS($E$11:$E$20,$C$11:$C$20,E$37,$D$11:$D$20,$B48),"")</f>
        <v/>
      </c>
      <c r="F48" s="110">
        <f>IFERROR(AVERAGEIFS($F$11:$F$20,$C$11:$C$20,E$37,$D$11:$D$20,$B48),"")</f>
        <v/>
      </c>
      <c r="G48" s="109">
        <f>IFERROR(AVERAGEIFS($E$11:$E$20,$C$11:$C$20,G$37,$D$11:$D$20,$B48),"")</f>
        <v/>
      </c>
      <c r="H48" s="109">
        <f>IFERROR(AVERAGEIFS($F$11:$F$20,$C$11:$C$20,G$37,$D$11:$D$20,$B48),"")</f>
        <v/>
      </c>
      <c r="I48" s="110">
        <f>IFERROR(AVERAGEIFS($E$11:$E$20,$C$11:$C$20,I$37,$D$11:$D$20,$B48),"")</f>
        <v/>
      </c>
      <c r="J48" s="110">
        <f>IFERROR(AVERAGEIFS($F$11:$F$20,$C$11:$C$20,I$37,$D$11:$D$20,$B48),"")</f>
        <v/>
      </c>
      <c r="K48" s="109">
        <f>IFERROR(AVERAGEIFS($E$11:$E$20,$C$11:$C$20,K$37,$D$11:$D$20,$B48),"")</f>
        <v/>
      </c>
      <c r="L48" s="109">
        <f>IFERROR(AVERAGEIFS($F$11:$F$20,$C$11:$C$20,K$37,$D$11:$D$20,$B48),"")</f>
        <v/>
      </c>
      <c r="M48" s="110">
        <f>IFERROR(AVERAGEIFS($E$11:$E$20,$C$11:$C$20,M$37,$D$11:$D$20,$B48),"")</f>
        <v/>
      </c>
      <c r="N48" s="110">
        <f>IFERROR(AVERAGEIFS($F$11:$F$20,$C$11:$C$20,M$37,$D$11:$D$20,$B48),"")</f>
        <v/>
      </c>
    </row>
    <row r="49" ht="15" customHeight="1" s="83">
      <c r="B49" s="173" t="inlineStr">
        <is>
          <t>B11</t>
        </is>
      </c>
      <c r="C49" s="109">
        <f>IFERROR(AVERAGEIFS($E$11:$E$20,$C$11:$C$20,C$37,$D$11:$D$20,$B49),"")</f>
        <v/>
      </c>
      <c r="D49" s="109">
        <f>IFERROR(AVERAGEIFS($F$11:$F$20,$C$11:$C$20,C$37,$D$11:$D$20,$B49),"")</f>
        <v/>
      </c>
      <c r="E49" s="110">
        <f>IFERROR(AVERAGEIFS($E$11:$E$20,$C$11:$C$20,E$37,$D$11:$D$20,$B49),"")</f>
        <v/>
      </c>
      <c r="F49" s="110">
        <f>IFERROR(AVERAGEIFS($F$11:$F$20,$C$11:$C$20,E$37,$D$11:$D$20,$B49),"")</f>
        <v/>
      </c>
      <c r="G49" s="109">
        <f>IFERROR(AVERAGEIFS($E$11:$E$20,$C$11:$C$20,G$37,$D$11:$D$20,$B49),"")</f>
        <v/>
      </c>
      <c r="H49" s="109">
        <f>IFERROR(AVERAGEIFS($F$11:$F$20,$C$11:$C$20,G$37,$D$11:$D$20,$B49),"")</f>
        <v/>
      </c>
      <c r="I49" s="110">
        <f>IFERROR(AVERAGEIFS($E$11:$E$20,$C$11:$C$20,I$37,$D$11:$D$20,$B49),"")</f>
        <v/>
      </c>
      <c r="J49" s="110">
        <f>IFERROR(AVERAGEIFS($F$11:$F$20,$C$11:$C$20,I$37,$D$11:$D$20,$B49),"")</f>
        <v/>
      </c>
      <c r="K49" s="109">
        <f>IFERROR(AVERAGEIFS($E$11:$E$20,$C$11:$C$20,K$37,$D$11:$D$20,$B49),"")</f>
        <v/>
      </c>
      <c r="L49" s="109">
        <f>IFERROR(AVERAGEIFS($F$11:$F$20,$C$11:$C$20,K$37,$D$11:$D$20,$B49),"")</f>
        <v/>
      </c>
      <c r="M49" s="110">
        <f>IFERROR(AVERAGEIFS($E$11:$E$20,$C$11:$C$20,M$37,$D$11:$D$20,$B49),"")</f>
        <v/>
      </c>
      <c r="N49" s="110">
        <f>IFERROR(AVERAGEIFS($F$11:$F$20,$C$11:$C$20,M$37,$D$11:$D$20,$B49),"")</f>
        <v/>
      </c>
    </row>
    <row r="50" ht="15" customHeight="1" s="83">
      <c r="B50" s="173" t="inlineStr">
        <is>
          <t>B12</t>
        </is>
      </c>
      <c r="C50" s="109">
        <f>IFERROR(AVERAGEIFS($E$11:$E$20,$C$11:$C$20,C$37,$D$11:$D$20,$B50),"")</f>
        <v/>
      </c>
      <c r="D50" s="109">
        <f>IFERROR(AVERAGEIFS($F$11:$F$20,$C$11:$C$20,C$37,$D$11:$D$20,$B50),"")</f>
        <v/>
      </c>
      <c r="E50" s="110">
        <f>IFERROR(AVERAGEIFS($E$11:$E$20,$C$11:$C$20,E$37,$D$11:$D$20,$B50),"")</f>
        <v/>
      </c>
      <c r="F50" s="110">
        <f>IFERROR(AVERAGEIFS($F$11:$F$20,$C$11:$C$20,E$37,$D$11:$D$20,$B50),"")</f>
        <v/>
      </c>
      <c r="G50" s="109">
        <f>IFERROR(AVERAGEIFS($E$11:$E$20,$C$11:$C$20,G$37,$D$11:$D$20,$B50),"")</f>
        <v/>
      </c>
      <c r="H50" s="109">
        <f>IFERROR(AVERAGEIFS($F$11:$F$20,$C$11:$C$20,G$37,$D$11:$D$20,$B50),"")</f>
        <v/>
      </c>
      <c r="I50" s="110">
        <f>IFERROR(AVERAGEIFS($E$11:$E$20,$C$11:$C$20,I$37,$D$11:$D$20,$B50),"")</f>
        <v/>
      </c>
      <c r="J50" s="110">
        <f>IFERROR(AVERAGEIFS($F$11:$F$20,$C$11:$C$20,I$37,$D$11:$D$20,$B50),"")</f>
        <v/>
      </c>
      <c r="K50" s="109">
        <f>IFERROR(AVERAGEIFS($E$11:$E$20,$C$11:$C$20,K$37,$D$11:$D$20,$B50),"")</f>
        <v/>
      </c>
      <c r="L50" s="109">
        <f>IFERROR(AVERAGEIFS($F$11:$F$20,$C$11:$C$20,K$37,$D$11:$D$20,$B50),"")</f>
        <v/>
      </c>
      <c r="M50" s="110">
        <f>IFERROR(AVERAGEIFS($E$11:$E$20,$C$11:$C$20,M$37,$D$11:$D$20,$B50),"")</f>
        <v/>
      </c>
      <c r="N50" s="110">
        <f>IFERROR(AVERAGEIFS($F$11:$F$20,$C$11:$C$20,M$37,$D$11:$D$20,$B50),"")</f>
        <v/>
      </c>
    </row>
    <row r="51" ht="14.25" customHeight="1" s="83">
      <c r="B51" s="174" t="n"/>
      <c r="C51" s="175" t="inlineStr">
        <is>
          <t>* Scoring is done using Likert Scale</t>
        </is>
      </c>
      <c r="D51" s="161" t="n"/>
      <c r="E51" s="161" t="n"/>
      <c r="F51" s="161" t="n"/>
      <c r="G51" s="161" t="n"/>
      <c r="H51" s="161" t="n"/>
      <c r="I51" s="161" t="n"/>
      <c r="J51" s="161" t="n"/>
      <c r="K51" s="161" t="n"/>
      <c r="L51" s="161" t="n"/>
      <c r="M51" s="161" t="n"/>
      <c r="N51" s="161" t="n"/>
    </row>
    <row r="1048576" ht="15" customHeight="1" s="83"/>
  </sheetData>
  <mergeCells count="58">
    <mergeCell ref="C25:H25"/>
    <mergeCell ref="I25:N25"/>
    <mergeCell ref="G12:N12"/>
    <mergeCell ref="I32:N32"/>
    <mergeCell ref="J5:K5"/>
    <mergeCell ref="C22:H22"/>
    <mergeCell ref="I22:N22"/>
    <mergeCell ref="I28:N28"/>
    <mergeCell ref="L5:N5"/>
    <mergeCell ref="G11:N11"/>
    <mergeCell ref="C31:H31"/>
    <mergeCell ref="C7:I7"/>
    <mergeCell ref="G17:N17"/>
    <mergeCell ref="I33:N33"/>
    <mergeCell ref="I24:N24"/>
    <mergeCell ref="J6:K6"/>
    <mergeCell ref="C27:H27"/>
    <mergeCell ref="C51:N51"/>
    <mergeCell ref="C23:H23"/>
    <mergeCell ref="G19:N19"/>
    <mergeCell ref="I23:N23"/>
    <mergeCell ref="G37:H37"/>
    <mergeCell ref="C6:I6"/>
    <mergeCell ref="C8:N8"/>
    <mergeCell ref="G10:N10"/>
    <mergeCell ref="I37:J37"/>
    <mergeCell ref="G13:N13"/>
    <mergeCell ref="L6:N6"/>
    <mergeCell ref="B37:B38"/>
    <mergeCell ref="C5:I5"/>
    <mergeCell ref="I29:N29"/>
    <mergeCell ref="G18:N18"/>
    <mergeCell ref="C32:H32"/>
    <mergeCell ref="C28:H28"/>
    <mergeCell ref="M37:N37"/>
    <mergeCell ref="G15:N15"/>
    <mergeCell ref="J7:K7"/>
    <mergeCell ref="I31:N31"/>
    <mergeCell ref="G14:N14"/>
    <mergeCell ref="C34:H34"/>
    <mergeCell ref="I34:N34"/>
    <mergeCell ref="B2:N2"/>
    <mergeCell ref="C30:H30"/>
    <mergeCell ref="I30:N30"/>
    <mergeCell ref="L7:N7"/>
    <mergeCell ref="C33:H33"/>
    <mergeCell ref="C24:H24"/>
    <mergeCell ref="G20:N20"/>
    <mergeCell ref="I27:N27"/>
    <mergeCell ref="C37:D37"/>
    <mergeCell ref="G16:N16"/>
    <mergeCell ref="I26:N26"/>
    <mergeCell ref="E37:F37"/>
    <mergeCell ref="K37:L37"/>
    <mergeCell ref="C26:H26"/>
    <mergeCell ref="C29:H29"/>
    <mergeCell ref="B22:B34"/>
    <mergeCell ref="C4:N4"/>
  </mergeCells>
  <conditionalFormatting sqref="C24">
    <cfRule type="expression" rank="0" priority="2" equalAverage="0" aboveAverage="0" dxfId="0" text="" percent="0" bottom="0">
      <formula>COUNTIFS($C$11:$C$20,"A2")&gt;0</formula>
    </cfRule>
  </conditionalFormatting>
  <conditionalFormatting sqref="C25">
    <cfRule type="expression" rank="0" priority="3" equalAverage="0" aboveAverage="0" dxfId="0" text="" percent="0" bottom="0">
      <formula>COUNTIFS($C$11:$C$20,"A3")&gt;0</formula>
    </cfRule>
  </conditionalFormatting>
  <conditionalFormatting sqref="C26">
    <cfRule type="expression" rank="0" priority="4" equalAverage="0" aboveAverage="0" dxfId="0" text="" percent="0" bottom="0">
      <formula>COUNTIFS($C$11:$C$20,"A4")&gt;0</formula>
    </cfRule>
  </conditionalFormatting>
  <conditionalFormatting sqref="C27">
    <cfRule type="expression" rank="0" priority="5" equalAverage="0" aboveAverage="0" dxfId="0" text="" percent="0" bottom="0">
      <formula>COUNTIFS($C$11:$C$20,"A5")&gt;0</formula>
    </cfRule>
  </conditionalFormatting>
  <conditionalFormatting sqref="C28">
    <cfRule type="expression" rank="0" priority="6" equalAverage="0" aboveAverage="0" dxfId="0" text="" percent="0" bottom="0">
      <formula>COUNTIFS($C$11:$C$20,"A6")&gt;0</formula>
    </cfRule>
  </conditionalFormatting>
  <conditionalFormatting sqref="C23:H23">
    <cfRule type="expression" rank="0" priority="7" equalAverage="0" aboveAverage="0" dxfId="0" text="" percent="0" bottom="0">
      <formula>COUNTIFS($C$11:$C$20,"A1")&gt;0</formula>
    </cfRule>
  </conditionalFormatting>
  <conditionalFormatting sqref="I23">
    <cfRule type="expression" rank="0" priority="8" equalAverage="0" aboveAverage="0" dxfId="0" text="" percent="0" bottom="0">
      <formula>COUNTIFS($D$11:$D$20,"B1")&gt;0</formula>
    </cfRule>
  </conditionalFormatting>
  <conditionalFormatting sqref="I24">
    <cfRule type="expression" rank="0" priority="9" equalAverage="0" aboveAverage="0" dxfId="0" text="" percent="0" bottom="0">
      <formula>COUNTIFS($D$11:$D$20,"B2")&gt;0</formula>
    </cfRule>
  </conditionalFormatting>
  <conditionalFormatting sqref="I25">
    <cfRule type="expression" rank="0" priority="10" equalAverage="0" aboveAverage="0" dxfId="0" text="" percent="0" bottom="0">
      <formula>COUNTIFS($D$11:$D$20,"B3")&gt;0</formula>
    </cfRule>
  </conditionalFormatting>
  <conditionalFormatting sqref="I26">
    <cfRule type="expression" rank="0" priority="11" equalAverage="0" aboveAverage="0" dxfId="0" text="" percent="0" bottom="0">
      <formula>COUNTIFS($D$11:$D$20,"B4")&gt;0</formula>
    </cfRule>
  </conditionalFormatting>
  <conditionalFormatting sqref="I27">
    <cfRule type="expression" rank="0" priority="12" equalAverage="0" aboveAverage="0" dxfId="0" text="" percent="0" bottom="0">
      <formula>COUNTIFS($D$11:$D$20,"B5")&gt;0</formula>
    </cfRule>
  </conditionalFormatting>
  <conditionalFormatting sqref="I28">
    <cfRule type="expression" rank="0" priority="13" equalAverage="0" aboveAverage="0" dxfId="0" text="" percent="0" bottom="0">
      <formula>COUNTIFS($D$11:$D$20,"B6")&gt;0</formula>
    </cfRule>
  </conditionalFormatting>
  <conditionalFormatting sqref="I29">
    <cfRule type="expression" rank="0" priority="14" equalAverage="0" aboveAverage="0" dxfId="0" text="" percent="0" bottom="0">
      <formula>COUNTIFS($D$11:$D$20,"B7")&gt;0</formula>
    </cfRule>
  </conditionalFormatting>
  <conditionalFormatting sqref="I30">
    <cfRule type="expression" rank="0" priority="15" equalAverage="0" aboveAverage="0" dxfId="0" text="" percent="0" bottom="0">
      <formula>COUNTIFS($D$11:$D$20,"B8")&gt;0</formula>
    </cfRule>
  </conditionalFormatting>
  <conditionalFormatting sqref="I31">
    <cfRule type="expression" rank="0" priority="16" equalAverage="0" aboveAverage="0" dxfId="0" text="" percent="0" bottom="0">
      <formula>COUNTIFS($D$11:$D$20,"B9")&gt;0</formula>
    </cfRule>
  </conditionalFormatting>
  <conditionalFormatting sqref="I32">
    <cfRule type="expression" rank="0" priority="17" equalAverage="0" aboveAverage="0" dxfId="0" text="" percent="0" bottom="0">
      <formula>COUNTIFS($D$11:$D$20,"B10")&gt;0</formula>
    </cfRule>
  </conditionalFormatting>
  <conditionalFormatting sqref="I33">
    <cfRule type="expression" rank="0" priority="18" equalAverage="0" aboveAverage="0" dxfId="0" text="" percent="0" bottom="0">
      <formula>COUNTIFS($D$11:$D$20,"B11")&gt;0</formula>
    </cfRule>
  </conditionalFormatting>
  <conditionalFormatting sqref="I34">
    <cfRule type="expression" rank="0" priority="19" equalAverage="0" aboveAverage="0" dxfId="0" text="" percent="0" bottom="0">
      <formula>COUNTIFS($D$11:$D$20,"B12")&gt;0</formula>
    </cfRule>
  </conditionalFormatting>
  <printOptions horizontalCentered="1" verticalCentered="0" headings="0" gridLines="0" gridLinesSet="1"/>
  <pageMargins left="0.25" right="0.25" top="0.75" bottom="0.75"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Luc Jonveaux</dc:creator>
  <dc:language>en-US</dc:language>
  <dcterms:created xsi:type="dcterms:W3CDTF">2023-12-23T11:37:17Z</dcterms:created>
  <dcterms:modified xsi:type="dcterms:W3CDTF">2025-09-14T16:15:35Z</dcterms:modified>
  <cp:revision>16</cp:revision>
  <cp:lastPrinted>2024-01-08T13:47:45Z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0x0101007BD61AFCC8A643B8924AB3F7EE1826010200A84A4FD139F6FE4C92EB97BC23352206</vt:lpwstr>
  </property>
  <property name="TaxKeyword" fmtid="{D5CDD505-2E9C-101B-9397-08002B2CF9AE}" pid="3">
    <vt:lpwstr/>
  </property>
  <property name="_dlc_DocIdItemGuid" fmtid="{D5CDD505-2E9C-101B-9397-08002B2CF9AE}" pid="4">
    <vt:lpwstr>5fb75e6f-eab8-47de-b779-6ff7a9fe705a</vt:lpwstr>
  </property>
</Properties>
</file>