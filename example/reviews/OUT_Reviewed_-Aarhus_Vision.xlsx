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xr:revisionPtr revIDLastSave="0" documentId="11_403B74E6797C7167908CD731448D6347BE9EAEA4" xr6:coauthVersionLast="47" xr6:coauthVersionMax="47" xr10:uidLastSave="{00000000-0000-0000-0000-000000000000}"/>
  <bookViews>
    <workbookView xWindow="0" yWindow="0" windowWidth="16384" windowHeight="8192" tabRatio="500" xr2:uid="{00000000-000D-0000-FFFF-FFFF00000000}"/>
  </bookViews>
  <sheets>
    <sheet name="Cover" sheetId="1" r:id="rId1"/>
    <sheet name="HowTo" sheetId="2" r:id="rId2"/>
    <sheet name="Definitions" sheetId="3" r:id="rId3"/>
    <sheet name="827d4ae889e4" sheetId="4" r:id="rId4"/>
    <sheet name="bfe5f797be39" sheetId="5" r:id="rId5"/>
    <sheet name="15370cab949a" sheetId="6" r:id="rId6"/>
  </sheets>
  <definedNames>
    <definedName name="_xlnm.Print_Area" localSheetId="0">Cover!$A$1:$S$25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 i="6" l="1"/>
  <c r="M50" i="6"/>
  <c r="L50" i="6"/>
  <c r="K50" i="6"/>
  <c r="J50" i="6"/>
  <c r="I50" i="6"/>
  <c r="H50" i="6"/>
  <c r="G50" i="6"/>
  <c r="F50" i="6"/>
  <c r="E50" i="6"/>
  <c r="D50" i="6"/>
  <c r="C50" i="6"/>
  <c r="N49" i="6"/>
  <c r="M49" i="6"/>
  <c r="L49" i="6"/>
  <c r="K49" i="6"/>
  <c r="J49" i="6"/>
  <c r="I49" i="6"/>
  <c r="H49" i="6"/>
  <c r="G49" i="6"/>
  <c r="F49" i="6"/>
  <c r="E49" i="6"/>
  <c r="D49" i="6"/>
  <c r="C49" i="6"/>
  <c r="N48" i="6"/>
  <c r="M48" i="6"/>
  <c r="L48" i="6"/>
  <c r="K48" i="6"/>
  <c r="J48" i="6"/>
  <c r="I48" i="6"/>
  <c r="H48" i="6"/>
  <c r="G48" i="6"/>
  <c r="F48" i="6"/>
  <c r="E48" i="6"/>
  <c r="D48" i="6"/>
  <c r="C48" i="6"/>
  <c r="N47" i="6"/>
  <c r="M47" i="6"/>
  <c r="L47" i="6"/>
  <c r="K47" i="6"/>
  <c r="J47" i="6"/>
  <c r="I47" i="6"/>
  <c r="H47" i="6"/>
  <c r="G47" i="6"/>
  <c r="F47" i="6"/>
  <c r="E47" i="6"/>
  <c r="D47" i="6"/>
  <c r="C47" i="6"/>
  <c r="N46" i="6"/>
  <c r="M46" i="6"/>
  <c r="L46" i="6"/>
  <c r="K46" i="6"/>
  <c r="J46" i="6"/>
  <c r="I46" i="6"/>
  <c r="H46" i="6"/>
  <c r="G46" i="6"/>
  <c r="F46" i="6"/>
  <c r="E46" i="6"/>
  <c r="D46" i="6"/>
  <c r="C46" i="6"/>
  <c r="N45" i="6"/>
  <c r="M45" i="6"/>
  <c r="L45" i="6"/>
  <c r="K45" i="6"/>
  <c r="J45" i="6"/>
  <c r="I45" i="6"/>
  <c r="H45" i="6"/>
  <c r="G45" i="6"/>
  <c r="F45" i="6"/>
  <c r="E45" i="6"/>
  <c r="D45" i="6"/>
  <c r="C45" i="6"/>
  <c r="N44" i="6"/>
  <c r="M44" i="6"/>
  <c r="L44" i="6"/>
  <c r="K44" i="6"/>
  <c r="J44" i="6"/>
  <c r="I44" i="6"/>
  <c r="H44" i="6"/>
  <c r="G44" i="6"/>
  <c r="F44" i="6"/>
  <c r="E44" i="6"/>
  <c r="D44" i="6"/>
  <c r="C44" i="6"/>
  <c r="N43" i="6"/>
  <c r="M43" i="6"/>
  <c r="L43" i="6"/>
  <c r="K43" i="6"/>
  <c r="J43" i="6"/>
  <c r="I43" i="6"/>
  <c r="H43" i="6"/>
  <c r="G43" i="6"/>
  <c r="F43" i="6"/>
  <c r="E43" i="6"/>
  <c r="D43" i="6"/>
  <c r="C43" i="6"/>
  <c r="N42" i="6"/>
  <c r="M42" i="6"/>
  <c r="L42" i="6"/>
  <c r="K42" i="6"/>
  <c r="J42" i="6"/>
  <c r="I42" i="6"/>
  <c r="H42" i="6"/>
  <c r="G42" i="6"/>
  <c r="F42" i="6"/>
  <c r="E42" i="6"/>
  <c r="D42" i="6"/>
  <c r="C42" i="6"/>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50" i="5"/>
  <c r="M50" i="5"/>
  <c r="L50" i="5"/>
  <c r="K50" i="5"/>
  <c r="J50" i="5"/>
  <c r="I50" i="5"/>
  <c r="H50" i="5"/>
  <c r="G50" i="5"/>
  <c r="F50" i="5"/>
  <c r="E50" i="5"/>
  <c r="D50" i="5"/>
  <c r="C50" i="5"/>
  <c r="N49" i="5"/>
  <c r="M49" i="5"/>
  <c r="L49" i="5"/>
  <c r="K49" i="5"/>
  <c r="J49" i="5"/>
  <c r="I49" i="5"/>
  <c r="H49" i="5"/>
  <c r="G49" i="5"/>
  <c r="F49" i="5"/>
  <c r="E49" i="5"/>
  <c r="D49" i="5"/>
  <c r="C49" i="5"/>
  <c r="N48" i="5"/>
  <c r="M48" i="5"/>
  <c r="L48" i="5"/>
  <c r="K48" i="5"/>
  <c r="J48" i="5"/>
  <c r="I48" i="5"/>
  <c r="H48" i="5"/>
  <c r="G48" i="5"/>
  <c r="F48" i="5"/>
  <c r="E48" i="5"/>
  <c r="D48" i="5"/>
  <c r="C48" i="5"/>
  <c r="N47" i="5"/>
  <c r="M47" i="5"/>
  <c r="L47" i="5"/>
  <c r="K47" i="5"/>
  <c r="J47" i="5"/>
  <c r="I47" i="5"/>
  <c r="H47" i="5"/>
  <c r="G47" i="5"/>
  <c r="F47" i="5"/>
  <c r="E47" i="5"/>
  <c r="D47" i="5"/>
  <c r="C47" i="5"/>
  <c r="N46" i="5"/>
  <c r="M46" i="5"/>
  <c r="L46" i="5"/>
  <c r="K46" i="5"/>
  <c r="J46" i="5"/>
  <c r="I46" i="5"/>
  <c r="H46" i="5"/>
  <c r="G46" i="5"/>
  <c r="F46" i="5"/>
  <c r="E46" i="5"/>
  <c r="D46" i="5"/>
  <c r="C46" i="5"/>
  <c r="N45" i="5"/>
  <c r="M45" i="5"/>
  <c r="L45" i="5"/>
  <c r="K45" i="5"/>
  <c r="J45" i="5"/>
  <c r="I45" i="5"/>
  <c r="H45" i="5"/>
  <c r="G45" i="5"/>
  <c r="F45" i="5"/>
  <c r="E45" i="5"/>
  <c r="D45" i="5"/>
  <c r="C45" i="5"/>
  <c r="N44" i="5"/>
  <c r="M44" i="5"/>
  <c r="L44" i="5"/>
  <c r="K44" i="5"/>
  <c r="J44" i="5"/>
  <c r="I44" i="5"/>
  <c r="H44" i="5"/>
  <c r="G44" i="5"/>
  <c r="F44" i="5"/>
  <c r="E44" i="5"/>
  <c r="D44" i="5"/>
  <c r="C44" i="5"/>
  <c r="N43" i="5"/>
  <c r="M43" i="5"/>
  <c r="L43" i="5"/>
  <c r="K43" i="5"/>
  <c r="J43" i="5"/>
  <c r="I43" i="5"/>
  <c r="H43" i="5"/>
  <c r="G43" i="5"/>
  <c r="F43" i="5"/>
  <c r="E43" i="5"/>
  <c r="D43" i="5"/>
  <c r="C43" i="5"/>
  <c r="N42" i="5"/>
  <c r="M42" i="5"/>
  <c r="L42" i="5"/>
  <c r="K42" i="5"/>
  <c r="J42" i="5"/>
  <c r="I42" i="5"/>
  <c r="H42" i="5"/>
  <c r="G42" i="5"/>
  <c r="F42" i="5"/>
  <c r="E42" i="5"/>
  <c r="D42" i="5"/>
  <c r="C42" i="5"/>
  <c r="N41" i="5"/>
  <c r="M41" i="5"/>
  <c r="L41" i="5"/>
  <c r="K41" i="5"/>
  <c r="J41" i="5"/>
  <c r="I41" i="5"/>
  <c r="H41" i="5"/>
  <c r="G41" i="5"/>
  <c r="F41" i="5"/>
  <c r="E41" i="5"/>
  <c r="D41" i="5"/>
  <c r="C41" i="5"/>
  <c r="N40" i="5"/>
  <c r="M40" i="5"/>
  <c r="L40" i="5"/>
  <c r="K40" i="5"/>
  <c r="J40" i="5"/>
  <c r="I40" i="5"/>
  <c r="H40" i="5"/>
  <c r="G40" i="5"/>
  <c r="F40" i="5"/>
  <c r="E40" i="5"/>
  <c r="D40" i="5"/>
  <c r="C40" i="5"/>
  <c r="N39" i="5"/>
  <c r="M39" i="5"/>
  <c r="L39" i="5"/>
  <c r="K39" i="5"/>
  <c r="J39" i="5"/>
  <c r="I39" i="5"/>
  <c r="H39" i="5"/>
  <c r="G39" i="5"/>
  <c r="F39" i="5"/>
  <c r="E39" i="5"/>
  <c r="D39" i="5"/>
  <c r="C39" i="5"/>
  <c r="N50" i="4"/>
  <c r="M50" i="4"/>
  <c r="L50" i="4"/>
  <c r="K50" i="4"/>
  <c r="J50" i="4"/>
  <c r="I50" i="4"/>
  <c r="H50" i="4"/>
  <c r="G50" i="4"/>
  <c r="F50" i="4"/>
  <c r="E50" i="4"/>
  <c r="D50" i="4"/>
  <c r="C50" i="4"/>
  <c r="N49" i="4"/>
  <c r="M49" i="4"/>
  <c r="L49" i="4"/>
  <c r="K49" i="4"/>
  <c r="J49" i="4"/>
  <c r="I49" i="4"/>
  <c r="H49" i="4"/>
  <c r="G49" i="4"/>
  <c r="F49" i="4"/>
  <c r="E49" i="4"/>
  <c r="D49" i="4"/>
  <c r="C49" i="4"/>
  <c r="N48" i="4"/>
  <c r="M48" i="4"/>
  <c r="L48" i="4"/>
  <c r="K48" i="4"/>
  <c r="J48" i="4"/>
  <c r="I48" i="4"/>
  <c r="H48" i="4"/>
  <c r="G48" i="4"/>
  <c r="F48" i="4"/>
  <c r="E48" i="4"/>
  <c r="D48" i="4"/>
  <c r="C48" i="4"/>
  <c r="N47" i="4"/>
  <c r="M47" i="4"/>
  <c r="L47" i="4"/>
  <c r="K47" i="4"/>
  <c r="J47" i="4"/>
  <c r="I47" i="4"/>
  <c r="H47" i="4"/>
  <c r="G47" i="4"/>
  <c r="F47" i="4"/>
  <c r="E47" i="4"/>
  <c r="D47" i="4"/>
  <c r="C47" i="4"/>
  <c r="N46" i="4"/>
  <c r="M46" i="4"/>
  <c r="L46" i="4"/>
  <c r="K46" i="4"/>
  <c r="J46" i="4"/>
  <c r="I46" i="4"/>
  <c r="H46" i="4"/>
  <c r="G46" i="4"/>
  <c r="F46" i="4"/>
  <c r="E46" i="4"/>
  <c r="D46" i="4"/>
  <c r="C46" i="4"/>
  <c r="N45" i="4"/>
  <c r="M45" i="4"/>
  <c r="L45" i="4"/>
  <c r="K45" i="4"/>
  <c r="J45" i="4"/>
  <c r="I45" i="4"/>
  <c r="H45" i="4"/>
  <c r="G45" i="4"/>
  <c r="F45" i="4"/>
  <c r="E45" i="4"/>
  <c r="D45" i="4"/>
  <c r="C45" i="4"/>
  <c r="N44" i="4"/>
  <c r="M44" i="4"/>
  <c r="L44" i="4"/>
  <c r="K44" i="4"/>
  <c r="J44" i="4"/>
  <c r="I44" i="4"/>
  <c r="H44" i="4"/>
  <c r="G44" i="4"/>
  <c r="F44" i="4"/>
  <c r="E44" i="4"/>
  <c r="D44" i="4"/>
  <c r="C44" i="4"/>
  <c r="N43" i="4"/>
  <c r="M43" i="4"/>
  <c r="L43" i="4"/>
  <c r="K43" i="4"/>
  <c r="J43" i="4"/>
  <c r="I43" i="4"/>
  <c r="H43" i="4"/>
  <c r="G43" i="4"/>
  <c r="F43" i="4"/>
  <c r="E43" i="4"/>
  <c r="D43" i="4"/>
  <c r="C43" i="4"/>
  <c r="N42" i="4"/>
  <c r="M42" i="4"/>
  <c r="L42" i="4"/>
  <c r="K42" i="4"/>
  <c r="J42" i="4"/>
  <c r="I42" i="4"/>
  <c r="H42" i="4"/>
  <c r="G42" i="4"/>
  <c r="F42" i="4"/>
  <c r="E42" i="4"/>
  <c r="D42" i="4"/>
  <c r="C42" i="4"/>
  <c r="N41" i="4"/>
  <c r="M41" i="4"/>
  <c r="L41" i="4"/>
  <c r="K41" i="4"/>
  <c r="J41" i="4"/>
  <c r="I41" i="4"/>
  <c r="H41" i="4"/>
  <c r="G41" i="4"/>
  <c r="F41" i="4"/>
  <c r="E41" i="4"/>
  <c r="D41" i="4"/>
  <c r="C41" i="4"/>
  <c r="N40" i="4"/>
  <c r="M40" i="4"/>
  <c r="L40" i="4"/>
  <c r="K40" i="4"/>
  <c r="J40" i="4"/>
  <c r="I40" i="4"/>
  <c r="H40" i="4"/>
  <c r="G40" i="4"/>
  <c r="F40" i="4"/>
  <c r="E40" i="4"/>
  <c r="D40" i="4"/>
  <c r="C40" i="4"/>
  <c r="N39" i="4"/>
  <c r="M39" i="4"/>
  <c r="L39" i="4"/>
  <c r="K39" i="4"/>
  <c r="J39" i="4"/>
  <c r="I39" i="4"/>
  <c r="H39" i="4"/>
  <c r="G39" i="4"/>
  <c r="F39" i="4"/>
  <c r="E39" i="4"/>
  <c r="D39" i="4"/>
  <c r="C39" i="4"/>
  <c r="R37" i="1"/>
  <c r="Q37" i="1"/>
  <c r="P37" i="1"/>
  <c r="O37" i="1"/>
  <c r="N37" i="1"/>
  <c r="M37" i="1"/>
  <c r="L37" i="1"/>
  <c r="K37" i="1"/>
  <c r="J37" i="1"/>
  <c r="I37" i="1"/>
  <c r="H37" i="1"/>
  <c r="G37" i="1"/>
  <c r="R36" i="1"/>
  <c r="Q36" i="1"/>
  <c r="P36" i="1"/>
  <c r="O36" i="1"/>
  <c r="N36" i="1"/>
  <c r="M36" i="1"/>
  <c r="L36" i="1"/>
  <c r="K36" i="1"/>
  <c r="J36" i="1"/>
  <c r="I36" i="1"/>
  <c r="H36" i="1"/>
  <c r="G36" i="1"/>
  <c r="R35" i="1"/>
  <c r="Q35" i="1"/>
  <c r="P35" i="1"/>
  <c r="O35" i="1"/>
  <c r="N35" i="1"/>
  <c r="M35" i="1"/>
  <c r="L35" i="1"/>
  <c r="K35" i="1"/>
  <c r="J35" i="1"/>
  <c r="I35" i="1"/>
  <c r="H35" i="1"/>
  <c r="G35" i="1"/>
  <c r="R34" i="1"/>
  <c r="Q34" i="1"/>
  <c r="P34" i="1"/>
  <c r="O34" i="1"/>
  <c r="N34" i="1"/>
  <c r="M34" i="1"/>
  <c r="L34" i="1"/>
  <c r="K34" i="1"/>
  <c r="J34" i="1"/>
  <c r="I34" i="1"/>
  <c r="H34" i="1"/>
  <c r="G34" i="1"/>
  <c r="R33" i="1"/>
  <c r="Q33" i="1"/>
  <c r="P33" i="1"/>
  <c r="O33" i="1"/>
  <c r="N33" i="1"/>
  <c r="M33" i="1"/>
  <c r="L33" i="1"/>
  <c r="K33" i="1"/>
  <c r="J33" i="1"/>
  <c r="I33" i="1"/>
  <c r="H33" i="1"/>
  <c r="G33" i="1"/>
  <c r="R32" i="1"/>
  <c r="Q32" i="1"/>
  <c r="P32" i="1"/>
  <c r="O32" i="1"/>
  <c r="N32" i="1"/>
  <c r="M32" i="1"/>
  <c r="L32" i="1"/>
  <c r="K32" i="1"/>
  <c r="J32" i="1"/>
  <c r="I32" i="1"/>
  <c r="H32" i="1"/>
  <c r="G32" i="1"/>
  <c r="R31" i="1"/>
  <c r="Q31" i="1"/>
  <c r="P31" i="1"/>
  <c r="O31" i="1"/>
  <c r="N31" i="1"/>
  <c r="M31" i="1"/>
  <c r="L31" i="1"/>
  <c r="K31" i="1"/>
  <c r="J31" i="1"/>
  <c r="I31" i="1"/>
  <c r="H31" i="1"/>
  <c r="G31" i="1"/>
  <c r="R30" i="1"/>
  <c r="Q30" i="1"/>
  <c r="P30" i="1"/>
  <c r="O30" i="1"/>
  <c r="N30" i="1"/>
  <c r="M30" i="1"/>
  <c r="L30" i="1"/>
  <c r="K30" i="1"/>
  <c r="J30" i="1"/>
  <c r="I30" i="1"/>
  <c r="H30" i="1"/>
  <c r="G30" i="1"/>
  <c r="R29" i="1"/>
  <c r="Q29" i="1"/>
  <c r="P29" i="1"/>
  <c r="O29" i="1"/>
  <c r="N29" i="1"/>
  <c r="M29" i="1"/>
  <c r="L29" i="1"/>
  <c r="K29" i="1"/>
  <c r="J29" i="1"/>
  <c r="I29" i="1"/>
  <c r="H29" i="1"/>
  <c r="G29" i="1"/>
  <c r="R28" i="1"/>
  <c r="Q28" i="1"/>
  <c r="P28" i="1"/>
  <c r="O28" i="1"/>
  <c r="N28" i="1"/>
  <c r="M28" i="1"/>
  <c r="L28" i="1"/>
  <c r="K28" i="1"/>
  <c r="J28" i="1"/>
  <c r="I28" i="1"/>
  <c r="H28" i="1"/>
  <c r="G28" i="1"/>
  <c r="R27" i="1"/>
  <c r="Q27" i="1"/>
  <c r="P27" i="1"/>
  <c r="O27" i="1"/>
  <c r="N27" i="1"/>
  <c r="M27" i="1"/>
  <c r="L27" i="1"/>
  <c r="K27" i="1"/>
  <c r="J27" i="1"/>
  <c r="I27" i="1"/>
  <c r="H27" i="1"/>
  <c r="G27" i="1"/>
  <c r="R26" i="1"/>
  <c r="Q26" i="1"/>
  <c r="P26" i="1"/>
  <c r="O26" i="1"/>
  <c r="N26" i="1"/>
  <c r="M26" i="1"/>
  <c r="L26" i="1"/>
  <c r="K26" i="1"/>
  <c r="J26" i="1"/>
  <c r="I26" i="1"/>
  <c r="H26" i="1"/>
  <c r="G26" i="1"/>
  <c r="R21" i="1"/>
  <c r="Q21" i="1"/>
  <c r="P21" i="1"/>
  <c r="O21" i="1"/>
  <c r="N21" i="1"/>
  <c r="M21" i="1"/>
  <c r="L21" i="1"/>
  <c r="K21" i="1"/>
  <c r="J21" i="1"/>
  <c r="I21" i="1"/>
  <c r="H21" i="1"/>
  <c r="G21" i="1"/>
  <c r="F21" i="1"/>
  <c r="F37" i="1" s="1"/>
  <c r="R20" i="1"/>
  <c r="Q20" i="1"/>
  <c r="P20" i="1"/>
  <c r="O20" i="1"/>
  <c r="N20" i="1"/>
  <c r="M20" i="1"/>
  <c r="L20" i="1"/>
  <c r="K20" i="1"/>
  <c r="J20" i="1"/>
  <c r="I20" i="1"/>
  <c r="H20" i="1"/>
  <c r="G20" i="1"/>
  <c r="F20" i="1"/>
  <c r="F36" i="1" s="1"/>
  <c r="R19" i="1"/>
  <c r="Q19" i="1"/>
  <c r="P19" i="1"/>
  <c r="O19" i="1"/>
  <c r="N19" i="1"/>
  <c r="M19" i="1"/>
  <c r="L19" i="1"/>
  <c r="K19" i="1"/>
  <c r="J19" i="1"/>
  <c r="I19" i="1"/>
  <c r="H19" i="1"/>
  <c r="G19" i="1"/>
  <c r="F19" i="1"/>
  <c r="F35" i="1" s="1"/>
  <c r="R18" i="1"/>
  <c r="Q18" i="1"/>
  <c r="P18" i="1"/>
  <c r="O18" i="1"/>
  <c r="N18" i="1"/>
  <c r="M18" i="1"/>
  <c r="L18" i="1"/>
  <c r="K18" i="1"/>
  <c r="J18" i="1"/>
  <c r="I18" i="1"/>
  <c r="H18" i="1"/>
  <c r="G18" i="1"/>
  <c r="F18" i="1"/>
  <c r="F34" i="1" s="1"/>
  <c r="R17" i="1"/>
  <c r="Q17" i="1"/>
  <c r="P17" i="1"/>
  <c r="O17" i="1"/>
  <c r="N17" i="1"/>
  <c r="M17" i="1"/>
  <c r="L17" i="1"/>
  <c r="K17" i="1"/>
  <c r="J17" i="1"/>
  <c r="I17" i="1"/>
  <c r="H17" i="1"/>
  <c r="G17" i="1"/>
  <c r="F17" i="1"/>
  <c r="F33" i="1" s="1"/>
  <c r="R16" i="1"/>
  <c r="Q16" i="1"/>
  <c r="P16" i="1"/>
  <c r="O16" i="1"/>
  <c r="N16" i="1"/>
  <c r="M16" i="1"/>
  <c r="L16" i="1"/>
  <c r="K16" i="1"/>
  <c r="J16" i="1"/>
  <c r="I16" i="1"/>
  <c r="H16" i="1"/>
  <c r="G16" i="1"/>
  <c r="F16" i="1"/>
  <c r="F32" i="1" s="1"/>
  <c r="R15" i="1"/>
  <c r="Q15" i="1"/>
  <c r="P15" i="1"/>
  <c r="O15" i="1"/>
  <c r="N15" i="1"/>
  <c r="M15" i="1"/>
  <c r="L15" i="1"/>
  <c r="K15" i="1"/>
  <c r="J15" i="1"/>
  <c r="I15" i="1"/>
  <c r="H15" i="1"/>
  <c r="G15" i="1"/>
  <c r="F15" i="1"/>
  <c r="F31" i="1" s="1"/>
  <c r="R14" i="1"/>
  <c r="Q14" i="1"/>
  <c r="P14" i="1"/>
  <c r="O14" i="1"/>
  <c r="N14" i="1"/>
  <c r="M14" i="1"/>
  <c r="L14" i="1"/>
  <c r="K14" i="1"/>
  <c r="J14" i="1"/>
  <c r="I14" i="1"/>
  <c r="H14" i="1"/>
  <c r="G14" i="1"/>
  <c r="F14" i="1"/>
  <c r="F30" i="1" s="1"/>
  <c r="R13" i="1"/>
  <c r="Q13" i="1"/>
  <c r="P13" i="1"/>
  <c r="O13" i="1"/>
  <c r="N13" i="1"/>
  <c r="M13" i="1"/>
  <c r="L13" i="1"/>
  <c r="K13" i="1"/>
  <c r="J13" i="1"/>
  <c r="I13" i="1"/>
  <c r="H13" i="1"/>
  <c r="G13" i="1"/>
  <c r="F13" i="1"/>
  <c r="F29" i="1" s="1"/>
  <c r="R12" i="1"/>
  <c r="Q12" i="1"/>
  <c r="P12" i="1"/>
  <c r="O12" i="1"/>
  <c r="N12" i="1"/>
  <c r="M12" i="1"/>
  <c r="L12" i="1"/>
  <c r="K12" i="1"/>
  <c r="J12" i="1"/>
  <c r="I12" i="1"/>
  <c r="H12" i="1"/>
  <c r="G12" i="1"/>
  <c r="F12" i="1"/>
  <c r="F28" i="1" s="1"/>
  <c r="R11" i="1"/>
  <c r="Q11" i="1"/>
  <c r="P11" i="1"/>
  <c r="O11" i="1"/>
  <c r="N11" i="1"/>
  <c r="M11" i="1"/>
  <c r="L11" i="1"/>
  <c r="K11" i="1"/>
  <c r="J11" i="1"/>
  <c r="I11" i="1"/>
  <c r="H11" i="1"/>
  <c r="G11" i="1"/>
  <c r="F11" i="1"/>
  <c r="F27" i="1" s="1"/>
  <c r="R10" i="1"/>
  <c r="Q10" i="1"/>
  <c r="P10" i="1"/>
  <c r="O10" i="1"/>
  <c r="N10" i="1"/>
  <c r="M10" i="1"/>
  <c r="L10" i="1"/>
  <c r="K10" i="1"/>
  <c r="J10" i="1"/>
  <c r="I10" i="1"/>
  <c r="H10" i="1"/>
  <c r="G10" i="1"/>
  <c r="F10" i="1"/>
  <c r="F26" i="1" s="1"/>
</calcChain>
</file>

<file path=xl/sharedStrings.xml><?xml version="1.0" encoding="utf-8"?>
<sst xmlns="http://schemas.openxmlformats.org/spreadsheetml/2006/main" count="406" uniqueCount="167">
  <si>
    <t>ISO37101 assessment</t>
  </si>
  <si>
    <t>If needed, see the "HowTo" tab for next actions</t>
  </si>
  <si>
    <t>Content</t>
  </si>
  <si>
    <t>Review of Aarhus Vision</t>
  </si>
  <si>
    <t xml:space="preserve">Summary table: </t>
  </si>
  <si>
    <t>The following table summarizes the finding of this assessment.</t>
  </si>
  <si>
    <t>WP</t>
  </si>
  <si>
    <t>Aarhus</t>
  </si>
  <si>
    <t>Average Score</t>
  </si>
  <si>
    <t>Attractiveness</t>
  </si>
  <si>
    <t>Environment</t>
  </si>
  <si>
    <t>Resilience</t>
  </si>
  <si>
    <t>Resources</t>
  </si>
  <si>
    <t>Cohesion</t>
  </si>
  <si>
    <t>Well Being</t>
  </si>
  <si>
    <t>Review</t>
  </si>
  <si>
    <t>LL</t>
  </si>
  <si>
    <t>Content from Vision elements.</t>
  </si>
  <si>
    <t>Bld.</t>
  </si>
  <si>
    <t>Neig.</t>
  </si>
  <si>
    <t>827d4ae889e4</t>
  </si>
  <si>
    <t>Aarhus Living Lab's sustainable initiatives.</t>
  </si>
  <si>
    <t>Date</t>
  </si>
  <si>
    <t>July 02, 2024 - 09:47PM</t>
  </si>
  <si>
    <t>bfe5f797be39</t>
  </si>
  <si>
    <t>Aarhus University's Living Lab mission: sustainability.</t>
  </si>
  <si>
    <t>15370cab949a</t>
  </si>
  <si>
    <t>Author(s)</t>
  </si>
  <si>
    <t>Automated</t>
  </si>
  <si>
    <t>Checked</t>
  </si>
  <si>
    <t>Validated</t>
  </si>
  <si>
    <t>Version of tool</t>
  </si>
  <si>
    <t>(10/04/2024)</t>
  </si>
  <si>
    <t>Number of count</t>
  </si>
  <si>
    <t>How to use</t>
  </si>
  <si>
    <t>Step</t>
  </si>
  <si>
    <t>Description</t>
  </si>
  <si>
    <t>Step 1</t>
  </si>
  <si>
    <t>Author/user sends their text for review (use cases, visions, ….)</t>
  </si>
  <si>
    <t>Step 2</t>
  </si>
  <si>
    <t>LJ processes the text and..</t>
  </si>
  <si>
    <t>Step3</t>
  </si>
  <si>
    <t>A draft assessment is created, in an excel format, and sent back o the author</t>
  </si>
  <si>
    <t>The authors checks green tabs, and can edit cells in yellow such as this cell. Other cells should not be edited.</t>
  </si>
  <si>
    <t>Step 4</t>
  </si>
  <si>
    <t>Author sends back edited excel.</t>
  </si>
  <si>
    <t>Step 5</t>
  </si>
  <si>
    <t>LJ updates the data and generates the assessment report.</t>
  </si>
  <si>
    <t>Step 6</t>
  </si>
  <si>
    <t>Author receives an updated assessment</t>
  </si>
  <si>
    <t>Tabs</t>
  </si>
  <si>
    <t>Green tabs</t>
  </si>
  <si>
    <t>Contains assessments</t>
  </si>
  <si>
    <t>Blue tab</t>
  </si>
  <si>
    <t>Contains definition</t>
  </si>
  <si>
    <t>Black tab</t>
  </si>
  <si>
    <t>Cover hsset</t>
  </si>
  <si>
    <t>Orange tab</t>
  </si>
  <si>
    <t>How to and explanations</t>
  </si>
  <si>
    <t>Definitions</t>
  </si>
  <si>
    <t>As per https://www.iso.org/obp/ui/en/#iso:std:iso:37104:ed-1:v1:en</t>
  </si>
  <si>
    <t>Purpose of sustainability</t>
  </si>
  <si>
    <t>Including: potential for economic development; general appeal to citizens and investors; richness of culture, encouragement of creativity and innovation; established connectivity and the continual development of alternative forms of mobility (such as quality of sustainable public transport infrastructures).</t>
  </si>
  <si>
    <t>Preservation and improvement of environment</t>
  </si>
  <si>
    <t>Including: climate change mitigation (such as by reducing greenhouse gas emissions; preservation, restoration and enhancement of biological diversity and ecosystem services); protection of ecosystems, (including plant and animal diversity and migration as well as genetic diversity); reducing pollution (including improving air quality and reducing health hazard).</t>
  </si>
  <si>
    <t>Including: preparation for climate change adaptation; climate risk reduction actions and crisis management plans, vulnerability assessment, development of social capital and capability, demographic evolution; financial and economic shocks and stresses testing and organisational preparedness.</t>
  </si>
  <si>
    <t>Responsible resource use</t>
  </si>
  <si>
    <t>Including: improved land use management; reducing, reusing and recycling of materials; respect for scarcity of all types of resources (notably water and energy). Promoting the environmentally safe reuse and recycling/treatment of e-waste and batteries. Encouraging preparation for reuse of products, and imposing conditions for the safe recycling, recovery and disposal of waste materials.</t>
  </si>
  <si>
    <t>Social cohesion</t>
  </si>
  <si>
    <t>Including: Equitable accessibility to services; dialogue with external parties not limited by city boundaries, enhancing and celebrating diversity; heritage and building a sense of identity; inclusiveness; mutuality, and shared experiences; rootedness; sense of belonging and increasing opportunities for social mobility, cohesion and the reduction of inequalities. Social cohesion is a relevant element of Agenda 2030 which focuses on reaching the SDGs. It is summed up by the phrase "Leave no one behind"a.</t>
  </si>
  <si>
    <t>Well-being</t>
  </si>
  <si>
    <t>Including: access to quality-of-life opportunities; all-life education and job-related training, human capital improvement; healthy environment and liveable city; security; building self-confidence and collective maturity.</t>
  </si>
  <si>
    <t>Sustainability issue</t>
  </si>
  <si>
    <t>Governance, empowerment and engagement</t>
  </si>
  <si>
    <t>Including: actions aimed at involving the different local actors and encouraging them to work together on collaborative projects. Such actors might include public actors, private actors, universities and research, associations, charities and citizens.</t>
  </si>
  <si>
    <t>Education and capacity building</t>
  </si>
  <si>
    <t>Including: actions aimed at raising awareness, providing information, communication, education and training for different audiences and levels.</t>
  </si>
  <si>
    <t>Innovation, creativity and research</t>
  </si>
  <si>
    <t>Including: actions involving innovation, creativity and research. For example, the establishment of innovation clusters, places of physical and virtual exchanges, the definition of public policies to support the realization of innovative demonstrators in the territory. NOTE   Innovation can take many forms, including social, technological, organizational, economic and financial innovations.</t>
  </si>
  <si>
    <t>Health and care in the community</t>
  </si>
  <si>
    <t>Including: actions aimed at improving health and care in the community, with a particular emphasis on projects targeting the most vulnerable and fragile sections of the population (e.g. children, the elderly, people with disabilities, and people who are insecure, mentally ill or distressed) and also projects targeting areas that lack access to care and health facilities.</t>
  </si>
  <si>
    <t>Culture and community identity</t>
  </si>
  <si>
    <t>Including: actions aimed at supporting and promoting culture in its diversity, notably minority and marginalised cultures. It also concerns actions aimed at fostering meeting opportunities and exchanges between different cultures both inside and outside the territory.</t>
  </si>
  <si>
    <t>Living together, interdependence and mutuality</t>
  </si>
  <si>
    <t>Including: actions and mechanisms aimed at promoting equal treatment of all citizens. It also concerns actions that encourage living together, constructive challenge and policies reducing inequality in all its forms.</t>
  </si>
  <si>
    <t>Economy and sustainable production and consumption</t>
  </si>
  <si>
    <t>Including: actions aimed at promoting and fostering the development of sustainable production and consumption, for example by establishing rules governing public procurement.</t>
  </si>
  <si>
    <t>Living and working environment</t>
  </si>
  <si>
    <t>Including: actions in the field of construction or renovation of buildings and public spaces. Actions aimed at encouraging good appropriation of buildings and public space by different users (e.g. adaptability, flexibility and innovation).</t>
  </si>
  <si>
    <t>Safety and security</t>
  </si>
  <si>
    <t>Including: actions aimed at preventing and managing all types of risks, actions aimed at reducing the causes of delinquency and crime; actions to ensure general safety and security.</t>
  </si>
  <si>
    <t>Biodiversity and ecosystem services</t>
  </si>
  <si>
    <t>Including: actions aimed at protecting, integrating and promoting natural environments in the city and its surroundings, for example green spaces, landscapes, wetlands and aquatic environments, ecological corridors, fauna and flora. Actions aimed at better understanding and using the positive impact of diverse ecosystems.</t>
  </si>
  <si>
    <t>Community smart infrastructures</t>
  </si>
  <si>
    <t>Including: actions aimed at ensuring high-quality utilities, for example urban water supply services and wastewater treatment; collection and treatment of waste; production, transmission and distribution of energy (e.g. electricity, heat, cold); integration of internet and other communication services.</t>
  </si>
  <si>
    <t>Mobility</t>
  </si>
  <si>
    <t>Including: actions aimed at promoting the development of public transport, and of active and alternative transportation modes (e.g. electric cars, carpools). It includes actions aimed at fostering the integration of information technology in the management of mobility, the regulation of goods and people transportation (e.g. reduction of speed) and parking policy.</t>
  </si>
  <si>
    <t>Self assessment sheet</t>
  </si>
  <si>
    <t>Activity</t>
  </si>
  <si>
    <t>Review of D7.2</t>
  </si>
  <si>
    <t>Title</t>
  </si>
  <si>
    <t>ID:</t>
  </si>
  <si>
    <t>Deliverable</t>
  </si>
  <si>
    <t>D7.2</t>
  </si>
  <si>
    <t>LL:</t>
  </si>
  <si>
    <t>Reviewed by</t>
  </si>
  <si>
    <t>Date of review:</t>
  </si>
  <si>
    <t>Aarhus University's Living Lab (LL) is paving the way towards a sustainable future with its groundbreaking initiatives!
The LL's overall purpose is to curate new research and apply evidence-based holistic action research, focusing on social sustainability concepts in real construction projects ultimately for contributing to the development of a modern sustainable city integrated Campus, known as Campus 2.0.
The Living Lab (LL) encompasses a diverse range of areas, including technological, social, natural, and physical aspects, all of which play crucial roles in the creation of a Green Building Neighbourhood (GBN). Here's how the LL is making a difference across various aspects: 
Technological: The LL is at the forefront of developing and testing cutting-edge technologies and tools. We are working on an enhanced decision-support tool for architects and engineers, to facilitate better decision-making in the early phases of construction projects.
Social: Making the intangible social sustainability tangible and quantifiable is the LL's aim. We are creating social sustainability subcategories and generating valuable knowledge and experience that can be applied in real-world projects, fostering a more inclusive and sustainable society.
Natural: The LL is committed to achieving net-zero environmental sustainability. We are promoting functional architecture, testing and prototyping green deal transitional examples, and aiming for DGNB gold certifications for their sustainability goals.
Physical: Through the LL's efforts, the campus district is undergoing a remarkable physical transformation. We are deeply refurbishing existing buildings, adding new ones, and ensuring architectural and structural features are preserved while meeting the needs of the university and its users.
Looking ahead, the vision for the Aarhus Living Lab and Aarhus University's Campus 2.0 is to "Make the intangible qualities, tangible." We aspire to translate social sustainability concepts into concrete, measurable outcomes. By integrating our findings, the LL will contribute to a modern, sustainable, and vibrant University City connected to the University Park.</t>
  </si>
  <si>
    <t>ID</t>
  </si>
  <si>
    <t>Purp.</t>
  </si>
  <si>
    <t>Act.</t>
  </si>
  <si>
    <t>Justification</t>
  </si>
  <si>
    <t>A1</t>
  </si>
  <si>
    <t>B3</t>
  </si>
  <si>
    <t>The text highlights the groundbreaking initiatives and cutting-edge technologies developed and tested at the Living Lab, emphasizing the innovative and creative research and development work being carried out.</t>
  </si>
  <si>
    <t>A3</t>
  </si>
  <si>
    <t>B10</t>
  </si>
  <si>
    <t>The Living Lab is committed to achieving net-zero environmental sustainability, promoting functional architecture, and testing green deal transitional examples, which contribute to the preservation and enhancement of biodiversity and ecosystem services within the campus district.</t>
  </si>
  <si>
    <t>A4</t>
  </si>
  <si>
    <t>B8</t>
  </si>
  <si>
    <t>The text mentions the refurbishment of existing buildings, the addition of new ones, and ensuring architectural and structural features are preserved, indicating responsible resource use in the living and working environment of the campus district.</t>
  </si>
  <si>
    <t>A5</t>
  </si>
  <si>
    <t>B2</t>
  </si>
  <si>
    <t>The Living Lab aims to make the intangible social sustainability tangible and quantifiable, creating social sustainability subcategories and generating valuable knowledge and experience applied in real-world projects, fostering a more inclusive and sustainable society. This aligns with education and capacity building at the building scale.</t>
  </si>
  <si>
    <t>A6</t>
  </si>
  <si>
    <t>B4</t>
  </si>
  <si>
    <t>The vision for the Aarhus Living Lab and Aarhus University's Campus 2.0 is to make the intangible qualities tangible, translating social sustainability concepts into concrete, measurable outcomes, which directly impacts the well-being of the community within the campus district.</t>
  </si>
  <si>
    <t>The text highlights the groundbreaking initiatives and cutting-edge technologies being developed and tested at the Living Lab, emphasizing the focus on innovation and research in the context of sustainability and development of Campus 2.0.</t>
  </si>
  <si>
    <t>A2</t>
  </si>
  <si>
    <t>The Living Lab's commitment to achieving net-zero environmental sustainability, testing and prototyping green deal transitional examples, and aiming for DGNB gold certifications demonstrates a strong emphasis on protecting and promoting natural environments within the Campus 2.0 development.</t>
  </si>
  <si>
    <t>The efforts to deeply refurbish existing buildings, add new ones, and ensure architectural and structural features are preserved while meeting the needs of the university and its users indicate a focus on responsible resource use in the context of living and working environments.</t>
  </si>
  <si>
    <t>B5</t>
  </si>
  <si>
    <t>The text emphasizes the aim of creating social sustainability subcategories, fostering a more inclusive and sustainable society, and translating social sustainability concepts into concrete, measurable outcomes, aligning with the promotion of culture and community identity within the university city and Campus 2.0.</t>
  </si>
  <si>
    <t>A (Purposes)</t>
  </si>
  <si>
    <t>B (Actions)</t>
  </si>
  <si>
    <t>1.      Attractiveness</t>
  </si>
  <si>
    <t>1.      Governance, empowerment, and engagement</t>
  </si>
  <si>
    <t>2.      Preservation and improvement of the environment</t>
  </si>
  <si>
    <t>2.      Education and capacity building</t>
  </si>
  <si>
    <t>3.      Resilience</t>
  </si>
  <si>
    <t>3.      Innovation, creativity, and research</t>
  </si>
  <si>
    <t>4.      Responsible resource use</t>
  </si>
  <si>
    <t>4.      Health and care in the community</t>
  </si>
  <si>
    <t>5.      Social cohesion</t>
  </si>
  <si>
    <t>5.      Culture and community identity</t>
  </si>
  <si>
    <t>6.      Wellbeing</t>
  </si>
  <si>
    <t>6.      Living together, interdependence and mutuality</t>
  </si>
  <si>
    <t>7.      Economy and sustainable production and consumption</t>
  </si>
  <si>
    <t>8.      Living and working environment</t>
  </si>
  <si>
    <t>9.      Safety and security</t>
  </si>
  <si>
    <t>10.   Biodiversity and ecosystem services</t>
  </si>
  <si>
    <t>11.   Community smart infrastructures</t>
  </si>
  <si>
    <t>12.   Mobility</t>
  </si>
  <si>
    <t>B1</t>
  </si>
  <si>
    <t>B6</t>
  </si>
  <si>
    <t>B7</t>
  </si>
  <si>
    <t>B9</t>
  </si>
  <si>
    <t>B11</t>
  </si>
  <si>
    <t>B12</t>
  </si>
  <si>
    <t>* Scoring is done using Likert Scale</t>
  </si>
  <si>
    <t>Aarhus University's Living Lab (LL) is paving the way towards a sustainable future with its groundbreaking initiatives!
The LL's overall purpose is to curate new research and apply evidence-based holistic action research, focusing on social sustainability concepts in real construction projects ultimately for contributing to the development of a modern sustainable city integrated Campus, known as Campus 2.0.
The Living Lab (LL) encompasses a diverse range of areas, including technological, social, natural, and physical aspects, all of which play crucial roles in the creation of a Green Building Neighbourhood (GBN). Here's how the LL is making a difference across various aspects: 
Technological: The LL is at the forefront of developing and testing cutting-edge technologies and tools. We are working on an enhanced decision-support tool for architects and engineers, to facilitate better decision-making in the early phases of construction projects.
Social: Making the intangible social sustainability tangible and quantifiable is the LL's aim. We are creating social sustainability subcategories and generating valuable knowledge and experience that can be applied in real-world projects, fostering a more inclusive and sustainable society.
Natural: The LL is committed to achieving net-zero environmental sustainability. We are promoting functional architecture, testing and prototyping green deal transitional examples, and aiming for DGNB gold certifications for their sustainability goals.
Physical: Through the LL's efforts, the campus district is undergoing a remarkable physical transformation. We are deeply refurbishing existing buildings, adding new ones, and ensuring architectural and structural features are preserved while meeting the needs of the university and its users.
Looking ahead, the vision for the Aarhus Living Lab and Aarhus University's Campus 2.0 is to "Make the intangible qualities, tangible." We aspire to translate social sustainability concepts into concrete, measurable outcomes. By integrating our findings, the LL will contribute to a modern, sustainable, and vibrant University City connected to the University Park..</t>
  </si>
  <si>
    <t>The text emphasizes groundbreaking initiatives and the development of new research, indicating a focus on innovation, creativity, and research in the context of the Living Lab's activities.</t>
  </si>
  <si>
    <t>The Living Lab is committed to achieving net-zero environmental sustainability and promoting functional architecture, which aligns with responsible resource use and the protection and enhancement of biodiversity and ecosystem services.</t>
  </si>
  <si>
    <t>The text discusses the physical transformation of the campus district and the refurbishment of existing buildings, which indicates a focus on creating a healthy and conducive living and working environment for the university and its users.</t>
  </si>
  <si>
    <t>The vision for the Living Lab and Aarhus University's Campus 2.0 includes the integration of findings to contribute to a modern, sustainable, and vibrant University City connected to the University Park, indicating a focus on building smart infrastructures and enhancing resilience at the neighborhood scale.</t>
  </si>
  <si>
    <t>The text highlights the aim of making intangible social sustainability tangible and quantifiable, fostering a more inclusive and sustainable society, which relates to the promotion of culture and community identity and the enhancement of social cohesion within the university community.</t>
  </si>
  <si>
    <t>Aarhus University's Living Lab (LL) is paving the way towards a sustainable future with its groundbreaking initiatives!
The LL's overall purpose is to curate new research and apply evidence-based holistic action research, focusing on social sustainability concepts in real construction projects ultimately for contributing to the development of a modern sustainable city integrated Campus, known as Campus 2.0.
The Living Lab (LL) encompasses a diverse range of areas, including technological, social, natural, and physical aspects, all of which play crucial roles in the creation of a Green Building Neighbourhood (GBN). Here's how the LL is making a difference across various aspects: 
Technological: The LL is at the forefront of developing and testing cutting-edge technologies and tools. We are working on an enhanced decision-support tool for architects and engineers, to facilitate better decision-making in the early phases of construction projects.
Social: Making the intangible social sustainability tangible and quantifiable is the LL's aim. We are creating social sustainability subcategories and generating valuable knowledge and experience that can be applied in real-world projects, fostering a more inclusive and sustainable society.
Natural: The LL is committed to achieving net-zero environmental sustainability. We are promoting functional architecture, testing and prototyping green deal transitional examples, and aiming for DGNB gold certifications for their sustainability goals.
Physical: Through the LL's efforts, the campus district is undergoing a remarkable physical transformation. We are deeply refurbishing existing buildings, adding new ones, and ensuring architectural and structural features are preserved while meeting the needs of the university and its users.
Looking ahead, the vision for the Aarhus Living Lab and Aarhus University's Campus 2.0 is to "Make the intangible qualities, tangible." We aspire to translate social sustainability concepts into concrete, measurable outcomes. By integrating our findings, the LL will contribute to a modern, sustainable, and vibrant University City connected to the University Park.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</si>
</sst>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lue]\ #,##0;&quot;  - &quot;#,##0\ ;\-"/>
  </numFmts>
  <fonts count="18">
    <font>
      <sz val="11"/>
      <color rgb="FF000000"/>
      <name val="Calibri"/>
      <family val="2"/>
      <charset val="1"/>
    </font>
    <font>
      <b/>
      <sz val="11"/>
      <color rgb="FF000000"/>
      <name val="Calibri"/>
      <family val="2"/>
      <charset val="1"/>
    </font>
    <font>
      <sz val="8"/>
      <color rgb="FF808080"/>
      <name val="Calibri"/>
      <family val="2"/>
      <charset val="1"/>
    </font>
    <font>
      <sz val="8"/>
      <color rgb="FF000000"/>
      <name val="Calibri"/>
      <family val="2"/>
      <charset val="1"/>
    </font>
    <font>
      <b/>
      <u/>
      <sz val="11"/>
      <color rgb="FF000000"/>
      <name val="Calibri"/>
      <family val="2"/>
      <charset val="1"/>
    </font>
    <font>
      <u/>
      <sz val="11"/>
      <color rgb="FF000000"/>
      <name val="Calibri"/>
      <family val="2"/>
      <charset val="1"/>
    </font>
    <font>
      <i/>
      <sz val="11"/>
      <color rgb="FFBFBFBF"/>
      <name val="Calibri"/>
      <family val="2"/>
      <charset val="1"/>
    </font>
    <font>
      <sz val="9"/>
      <color rgb="FF000000"/>
      <name val="Calibri"/>
      <family val="2"/>
      <charset val="1"/>
    </font>
    <font>
      <b/>
      <sz val="11"/>
      <color rgb="FFA6A6A6"/>
      <name val="Calibri"/>
      <family val="2"/>
      <charset val="1"/>
    </font>
    <font>
      <sz val="11"/>
      <color rgb="FFA6A6A6"/>
      <name val="Calibri"/>
      <family val="2"/>
      <charset val="1"/>
    </font>
    <font>
      <b/>
      <sz val="12"/>
      <color rgb="FF000000"/>
      <name val="Calibri"/>
      <family val="2"/>
      <charset val="1"/>
    </font>
    <font>
      <sz val="8"/>
      <color rgb="FF000000"/>
      <name val="Lucida Sans Typewriter"/>
      <family val="3"/>
      <charset val="1"/>
    </font>
    <font>
      <b/>
      <sz val="10"/>
      <color rgb="FF000000"/>
      <name val="Calibri"/>
      <family val="2"/>
      <charset val="1"/>
    </font>
    <font>
      <i/>
      <sz val="10"/>
      <color rgb="FF000000"/>
      <name val="Calibri"/>
      <family val="2"/>
      <charset val="1"/>
    </font>
    <font>
      <b/>
      <sz val="14"/>
      <color rgb="FF000000"/>
      <name val="Calibri"/>
      <family val="2"/>
      <charset val="1"/>
    </font>
    <font>
      <b/>
      <sz val="11"/>
      <color rgb="FF000000"/>
      <name val="Arial"/>
      <family val="2"/>
      <charset val="1"/>
    </font>
    <font>
      <b/>
      <sz val="9"/>
      <color rgb="FF000000"/>
      <name val="Arial"/>
      <family val="2"/>
      <charset val="1"/>
    </font>
    <font>
      <sz val="9"/>
      <color rgb="FF000000"/>
      <name val="Arial"/>
      <family val="2"/>
      <charset val="1"/>
    </font>
  </fonts>
  <fills count="10">
    <fill>
      <patternFill patternType="none"/>
    </fill>
    <fill>
      <patternFill patternType="gray125"/>
    </fill>
    <fill>
      <patternFill patternType="solid">
        <fgColor rgb="FFFFFFD7"/>
        <bgColor rgb="FFFFF2CC"/>
      </patternFill>
    </fill>
    <fill>
      <patternFill patternType="solid">
        <fgColor rgb="FFE2EFD9"/>
        <bgColor rgb="FFE2F0D9"/>
      </patternFill>
    </fill>
    <fill>
      <patternFill patternType="solid">
        <fgColor rgb="FFA8D08D"/>
        <bgColor rgb="FFC5E0B4"/>
      </patternFill>
    </fill>
    <fill>
      <patternFill patternType="solid">
        <fgColor rgb="FF538135"/>
        <bgColor rgb="FF808000"/>
      </patternFill>
    </fill>
    <fill>
      <patternFill patternType="solid">
        <fgColor rgb="FFF2F2F2"/>
        <bgColor rgb="FFE7E6E6"/>
      </patternFill>
    </fill>
    <fill>
      <patternFill patternType="solid">
        <fgColor rgb="FFFFF2CC"/>
        <bgColor rgb="FFFFFFD7"/>
      </patternFill>
    </fill>
    <fill>
      <patternFill patternType="solid">
        <fgColor rgb="FFE7E6E6"/>
        <bgColor rgb="FFE2EFD9"/>
      </patternFill>
    </fill>
    <fill>
      <patternFill patternType="solid">
        <fgColor rgb="FFFFFFFF"/>
        <bgColor rgb="FFF2F2F2"/>
      </patternFill>
    </fill>
  </fills>
  <borders count="28">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top style="medium">
        <color auto="1"/>
      </top>
      <bottom/>
      <diagonal/>
    </border>
    <border>
      <left style="medium">
        <color rgb="FF808080"/>
      </left>
      <right style="medium">
        <color rgb="FF808080"/>
      </right>
      <top style="medium">
        <color rgb="FF808080"/>
      </top>
      <bottom style="medium">
        <color rgb="FF808080"/>
      </bottom>
      <diagonal/>
    </border>
    <border>
      <left/>
      <right/>
      <top style="thin">
        <color auto="1"/>
      </top>
      <bottom style="thin">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style="medium">
        <color auto="1"/>
      </right>
      <top/>
      <bottom/>
      <diagonal/>
    </border>
    <border>
      <left/>
      <right/>
      <top/>
      <bottom style="medium">
        <color auto="1"/>
      </bottom>
      <diagonal/>
    </border>
  </borders>
  <cellStyleXfs count="1">
    <xf numFmtId="0" fontId="0" fillId="0" borderId="0"/>
  </cellStyleXfs>
  <cellXfs count="99">
    <xf numFmtId="0" fontId="0" fillId="0" borderId="0" xfId="0"/>
    <xf numFmtId="0" fontId="0" fillId="0" borderId="0" xfId="0" applyAlignment="1">
      <alignment horizontal="left"/>
    </xf>
    <xf numFmtId="0" fontId="1" fillId="0" borderId="0" xfId="0" applyFont="1" applyAlignment="1">
      <alignment horizontal="center"/>
    </xf>
    <xf numFmtId="0" fontId="2" fillId="0" borderId="0" xfId="0" applyFont="1" applyAlignment="1">
      <alignment horizontal="left"/>
    </xf>
    <xf numFmtId="0" fontId="3" fillId="0" borderId="0" xfId="0" applyFont="1" applyAlignment="1">
      <alignment horizontal="left"/>
    </xf>
    <xf numFmtId="0" fontId="4" fillId="0" borderId="1" xfId="0" applyFont="1"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right" vertical="center"/>
    </xf>
    <xf numFmtId="0" fontId="5" fillId="0" borderId="0" xfId="0" applyFont="1"/>
    <xf numFmtId="0" fontId="0" fillId="0" borderId="0" xfId="0" applyAlignment="1">
      <alignment horizontal="left" vertical="top"/>
    </xf>
    <xf numFmtId="0" fontId="4" fillId="0" borderId="1" xfId="0" applyFont="1" applyBorder="1" applyAlignment="1">
      <alignment horizontal="right" indent="1"/>
    </xf>
    <xf numFmtId="0" fontId="0" fillId="2" borderId="1" xfId="0" applyFill="1" applyBorder="1" applyAlignment="1">
      <alignment horizontal="left" vertical="top"/>
    </xf>
    <xf numFmtId="0" fontId="4" fillId="0" borderId="0" xfId="0" applyFont="1"/>
    <xf numFmtId="0" fontId="7" fillId="6" borderId="3" xfId="0" applyFont="1" applyFill="1" applyBorder="1" applyAlignment="1">
      <alignment horizontal="center" vertical="center" wrapText="1"/>
    </xf>
    <xf numFmtId="0" fontId="7" fillId="0" borderId="3" xfId="0" applyFont="1" applyBorder="1" applyAlignment="1">
      <alignment horizontal="center" vertical="center" wrapText="1"/>
    </xf>
    <xf numFmtId="14" fontId="0" fillId="2" borderId="1" xfId="0" applyNumberFormat="1" applyFill="1" applyBorder="1" applyAlignment="1">
      <alignment horizontal="left" vertical="top"/>
    </xf>
    <xf numFmtId="0" fontId="7" fillId="0" borderId="4" xfId="0" applyFont="1" applyBorder="1" applyAlignment="1">
      <alignment horizontal="center" vertical="center" wrapText="1"/>
    </xf>
    <xf numFmtId="164" fontId="0" fillId="6" borderId="3" xfId="0" applyNumberFormat="1" applyFill="1" applyBorder="1" applyAlignment="1">
      <alignment horizontal="center" vertical="center" wrapText="1"/>
    </xf>
    <xf numFmtId="164" fontId="0" fillId="0" borderId="3" xfId="0" applyNumberFormat="1" applyBorder="1" applyAlignment="1">
      <alignment horizontal="center" vertical="center" wrapText="1"/>
    </xf>
    <xf numFmtId="0" fontId="4" fillId="0" borderId="0" xfId="0" applyFont="1" applyAlignment="1">
      <alignment horizontal="right" indent="1"/>
    </xf>
    <xf numFmtId="0" fontId="5" fillId="0" borderId="0" xfId="0" applyFont="1" applyAlignment="1">
      <alignment horizontal="right" indent="1"/>
    </xf>
    <xf numFmtId="0" fontId="8" fillId="0" borderId="0" xfId="0" applyFont="1" applyAlignment="1">
      <alignment horizontal="right" indent="1"/>
    </xf>
    <xf numFmtId="0" fontId="9" fillId="0" borderId="0" xfId="0" applyFont="1"/>
    <xf numFmtId="0" fontId="0" fillId="0" borderId="0" xfId="0" applyAlignment="1">
      <alignment horizontal="left" wrapText="1"/>
    </xf>
    <xf numFmtId="0" fontId="10" fillId="0" borderId="0" xfId="0" applyFont="1" applyAlignment="1">
      <alignment horizontal="left" wrapText="1"/>
    </xf>
    <xf numFmtId="0" fontId="4" fillId="0" borderId="1" xfId="0" applyFont="1" applyBorder="1" applyAlignment="1">
      <alignment horizontal="center"/>
    </xf>
    <xf numFmtId="0" fontId="4" fillId="0" borderId="5" xfId="0" applyFont="1" applyBorder="1" applyAlignment="1">
      <alignment horizontal="center" wrapText="1"/>
    </xf>
    <xf numFmtId="0" fontId="1" fillId="0" borderId="6" xfId="0" applyFont="1" applyBorder="1" applyAlignment="1">
      <alignment horizontal="left" vertical="top"/>
    </xf>
    <xf numFmtId="0" fontId="0" fillId="0" borderId="7" xfId="0" applyBorder="1" applyAlignment="1">
      <alignment horizontal="left" vertical="top" wrapText="1"/>
    </xf>
    <xf numFmtId="0" fontId="1" fillId="0" borderId="8" xfId="0" applyFont="1" applyBorder="1" applyAlignment="1">
      <alignment horizontal="left" vertical="top"/>
    </xf>
    <xf numFmtId="0" fontId="0" fillId="0" borderId="9" xfId="0" applyBorder="1" applyAlignment="1">
      <alignment horizontal="left" vertical="top" wrapText="1"/>
    </xf>
    <xf numFmtId="0" fontId="0" fillId="7" borderId="9" xfId="0" applyFill="1" applyBorder="1" applyAlignment="1">
      <alignment horizontal="left" vertical="top" wrapText="1"/>
    </xf>
    <xf numFmtId="0" fontId="1" fillId="0" borderId="10" xfId="0" applyFont="1" applyBorder="1" applyAlignment="1">
      <alignment horizontal="left" vertical="top"/>
    </xf>
    <xf numFmtId="0" fontId="0" fillId="0" borderId="11" xfId="0" applyBorder="1" applyAlignment="1">
      <alignment horizontal="left" vertical="top" wrapText="1"/>
    </xf>
    <xf numFmtId="0" fontId="4" fillId="0" borderId="5" xfId="0" applyFont="1" applyBorder="1" applyAlignment="1">
      <alignment horizontal="center" vertical="center" wrapText="1"/>
    </xf>
    <xf numFmtId="0" fontId="0" fillId="0" borderId="7" xfId="0" applyBorder="1" applyAlignment="1">
      <alignment horizontal="left" wrapText="1"/>
    </xf>
    <xf numFmtId="0" fontId="0" fillId="0" borderId="9" xfId="0" applyBorder="1" applyAlignment="1">
      <alignment horizontal="left" wrapText="1"/>
    </xf>
    <xf numFmtId="0" fontId="0" fillId="0" borderId="11" xfId="0" applyBorder="1" applyAlignment="1">
      <alignment horizontal="left" wrapText="1"/>
    </xf>
    <xf numFmtId="0" fontId="1" fillId="0" borderId="12" xfId="0" applyFont="1" applyBorder="1" applyAlignment="1">
      <alignment horizontal="left" vertical="top" wrapText="1"/>
    </xf>
    <xf numFmtId="0" fontId="1" fillId="0" borderId="1" xfId="0" applyFont="1" applyBorder="1" applyAlignment="1">
      <alignment horizontal="left" vertical="top" wrapText="1"/>
    </xf>
    <xf numFmtId="0" fontId="1" fillId="0" borderId="12" xfId="0" applyFont="1" applyBorder="1" applyAlignment="1">
      <alignment horizontal="center" vertical="top" wrapText="1"/>
    </xf>
    <xf numFmtId="0" fontId="11" fillId="0" borderId="12" xfId="0" applyFont="1" applyBorder="1" applyAlignment="1">
      <alignment horizontal="center" vertical="center" wrapText="1"/>
    </xf>
    <xf numFmtId="0" fontId="11" fillId="2" borderId="1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3" fillId="0" borderId="0" xfId="0" applyFont="1"/>
    <xf numFmtId="0" fontId="15" fillId="8" borderId="0" xfId="0" applyFont="1" applyFill="1"/>
    <xf numFmtId="0" fontId="0" fillId="8" borderId="0" xfId="0" applyFill="1"/>
    <xf numFmtId="0" fontId="16" fillId="9" borderId="18" xfId="0" applyFont="1" applyFill="1" applyBorder="1" applyAlignment="1">
      <alignment horizontal="center" vertical="center" wrapText="1"/>
    </xf>
    <xf numFmtId="0" fontId="17" fillId="9" borderId="18" xfId="0" applyFont="1" applyFill="1" applyBorder="1" applyAlignment="1">
      <alignment horizontal="left" vertical="center" wrapText="1"/>
    </xf>
    <xf numFmtId="0" fontId="0" fillId="0" borderId="0" xfId="0" applyAlignment="1">
      <alignment horizontal="center" vertical="center"/>
    </xf>
    <xf numFmtId="0" fontId="16" fillId="8" borderId="0" xfId="0" applyFont="1" applyFill="1"/>
    <xf numFmtId="0" fontId="7" fillId="8" borderId="0" xfId="0" applyFont="1" applyFill="1" applyAlignment="1">
      <alignment horizontal="center" vertical="center"/>
    </xf>
    <xf numFmtId="0" fontId="7" fillId="8" borderId="0" xfId="0" applyFont="1" applyFill="1"/>
    <xf numFmtId="0" fontId="1" fillId="0" borderId="0" xfId="0" applyFont="1" applyAlignment="1">
      <alignment horizontal="center"/>
    </xf>
    <xf numFmtId="0" fontId="0" fillId="0" borderId="0" xfId="0" applyAlignment="1">
      <alignment horizontal="left"/>
    </xf>
    <xf numFmtId="0" fontId="6" fillId="0" borderId="2" xfId="0" applyFont="1" applyBorder="1" applyAlignment="1">
      <alignment horizontal="center" vertical="center" wrapText="1"/>
    </xf>
    <xf numFmtId="0" fontId="4" fillId="0" borderId="1" xfId="0" applyFont="1" applyBorder="1" applyAlignment="1">
      <alignment horizontal="right" vertical="top" indent="1"/>
    </xf>
    <xf numFmtId="0" fontId="0" fillId="3" borderId="2" xfId="0" applyFill="1" applyBorder="1" applyAlignment="1">
      <alignment horizontal="center" vertical="center" wrapText="1"/>
    </xf>
    <xf numFmtId="0" fontId="1" fillId="0" borderId="0" xfId="0" applyFont="1" applyAlignment="1">
      <alignment horizontal="center" vertical="center"/>
    </xf>
    <xf numFmtId="0" fontId="0" fillId="5" borderId="2" xfId="0" applyFill="1" applyBorder="1" applyAlignment="1">
      <alignment horizontal="center" vertical="center" wrapText="1"/>
    </xf>
    <xf numFmtId="0" fontId="0" fillId="0" borderId="1" xfId="0" applyBorder="1" applyAlignment="1">
      <alignment horizontal="left" vertical="center"/>
    </xf>
    <xf numFmtId="0" fontId="0" fillId="4" borderId="2" xfId="0" applyFill="1" applyBorder="1" applyAlignment="1">
      <alignment horizontal="center" vertical="center" wrapText="1"/>
    </xf>
    <xf numFmtId="0" fontId="1" fillId="0" borderId="8" xfId="0" applyFont="1" applyBorder="1" applyAlignment="1">
      <alignment horizontal="left" vertical="top"/>
    </xf>
    <xf numFmtId="0" fontId="14" fillId="0" borderId="0" xfId="0" applyFont="1" applyAlignment="1">
      <alignment horizontal="center"/>
    </xf>
    <xf numFmtId="0" fontId="12" fillId="0" borderId="16" xfId="0" applyFont="1" applyBorder="1" applyAlignment="1">
      <alignment horizontal="left" vertical="center" wrapText="1"/>
    </xf>
    <xf numFmtId="0" fontId="12" fillId="0" borderId="16" xfId="0" applyFont="1" applyBorder="1" applyAlignment="1">
      <alignment horizontal="left" vertical="top" wrapText="1"/>
    </xf>
    <xf numFmtId="0" fontId="0" fillId="2" borderId="1" xfId="0" applyFill="1" applyBorder="1" applyAlignment="1">
      <alignment horizontal="left" vertical="top" wrapText="1"/>
    </xf>
    <xf numFmtId="0" fontId="11" fillId="2" borderId="12" xfId="0" applyFont="1" applyFill="1" applyBorder="1" applyAlignment="1">
      <alignment vertical="center" wrapText="1"/>
    </xf>
    <xf numFmtId="0" fontId="1" fillId="0" borderId="2" xfId="0" applyFont="1" applyBorder="1" applyAlignment="1">
      <alignment horizontal="center" vertical="center" textRotation="90"/>
    </xf>
    <xf numFmtId="0" fontId="0" fillId="0" borderId="2" xfId="0" applyBorder="1" applyAlignment="1">
      <alignment horizontal="center" vertical="center" wrapText="1"/>
    </xf>
    <xf numFmtId="0" fontId="1" fillId="0" borderId="1" xfId="0" applyFont="1" applyBorder="1" applyAlignment="1">
      <alignment horizontal="right" vertical="top" wrapText="1"/>
    </xf>
    <xf numFmtId="0" fontId="12" fillId="0" borderId="4" xfId="0" applyFont="1" applyBorder="1" applyAlignment="1">
      <alignment horizontal="left" vertical="center" wrapText="1"/>
    </xf>
    <xf numFmtId="0" fontId="12" fillId="0" borderId="4" xfId="0" applyFont="1" applyBorder="1" applyAlignment="1">
      <alignment horizontal="left" vertical="top" wrapText="1"/>
    </xf>
    <xf numFmtId="0" fontId="1" fillId="0" borderId="14" xfId="0" applyFont="1" applyBorder="1" applyAlignment="1">
      <alignment horizontal="right"/>
    </xf>
    <xf numFmtId="0" fontId="13" fillId="0" borderId="17" xfId="0" applyFont="1" applyBorder="1" applyAlignment="1">
      <alignment horizontal="left" vertical="center" wrapText="1"/>
    </xf>
    <xf numFmtId="0" fontId="0" fillId="0" borderId="13" xfId="0" applyBorder="1" applyAlignment="1">
      <alignment horizontal="left" vertical="top" wrapText="1"/>
    </xf>
    <xf numFmtId="0" fontId="1" fillId="0" borderId="12" xfId="0" applyFont="1" applyBorder="1" applyAlignment="1">
      <alignment horizontal="left" vertical="top" wrapText="1"/>
    </xf>
    <xf numFmtId="0" fontId="1" fillId="0" borderId="15" xfId="0" applyFont="1" applyBorder="1" applyAlignment="1">
      <alignment horizontal="center" vertical="top" wrapText="1"/>
    </xf>
    <xf numFmtId="0" fontId="1" fillId="0" borderId="15" xfId="0" applyFont="1" applyBorder="1" applyAlignment="1">
      <alignment horizontal="center" vertical="center" wrapText="1"/>
    </xf>
    <xf numFmtId="0" fontId="0" fillId="0" borderId="1" xfId="0" applyBorder="1" applyAlignment="1">
      <alignment horizontal="left" vertical="top" wrapText="1"/>
    </xf>
    <xf numFmtId="0" fontId="0" fillId="0" borderId="0" xfId="0" applyAlignment="1"/>
    <xf numFmtId="0" fontId="0" fillId="0" borderId="19" xfId="0" applyBorder="1" applyAlignment="1"/>
    <xf numFmtId="0" fontId="0" fillId="0" borderId="5" xfId="0" applyBorder="1" applyAlignment="1"/>
    <xf numFmtId="0" fontId="0" fillId="0" borderId="21" xfId="0" applyBorder="1" applyAlignment="1"/>
    <xf numFmtId="0" fontId="0" fillId="0" borderId="4" xfId="0" applyBorder="1" applyAlignment="1"/>
    <xf numFmtId="0" fontId="0" fillId="0" borderId="8" xfId="0" applyBorder="1" applyAlignment="1"/>
    <xf numFmtId="0" fontId="0" fillId="0" borderId="10" xfId="0" applyBorder="1" applyAlignment="1"/>
    <xf numFmtId="0" fontId="0" fillId="2" borderId="13" xfId="0" applyFill="1" applyBorder="1" applyAlignment="1"/>
    <xf numFmtId="0" fontId="0" fillId="0" borderId="22" xfId="0" applyBorder="1" applyAlignment="1"/>
    <xf numFmtId="0" fontId="0" fillId="0" borderId="23" xfId="0" applyBorder="1" applyAlignment="1"/>
    <xf numFmtId="0" fontId="0" fillId="0" borderId="24" xfId="0" applyBorder="1" applyAlignment="1"/>
    <xf numFmtId="0" fontId="0" fillId="0" borderId="25" xfId="0" applyBorder="1" applyAlignment="1"/>
    <xf numFmtId="0" fontId="0" fillId="0" borderId="17" xfId="0" applyBorder="1" applyAlignment="1"/>
    <xf numFmtId="0" fontId="0" fillId="0" borderId="20" xfId="0" applyBorder="1" applyAlignment="1"/>
    <xf numFmtId="0" fontId="0" fillId="0" borderId="16" xfId="0" applyBorder="1" applyAlignment="1"/>
    <xf numFmtId="0" fontId="0" fillId="0" borderId="26" xfId="0" applyBorder="1" applyAlignment="1"/>
    <xf numFmtId="0" fontId="0" fillId="0" borderId="27" xfId="0" applyBorder="1" applyAlignment="1"/>
    <xf numFmtId="0" fontId="0" fillId="0" borderId="3" xfId="0" applyBorder="1" applyAlignment="1"/>
  </cellXfs>
  <cellStyles count="1">
    <cellStyle name="Normal" xfId="0" builtinId="0"/>
  </cellStyles>
  <dxfs count="54">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
      <font>
        <b/>
        <sz val="11"/>
        <color rgb="FF000000"/>
        <name val="Calibri"/>
        <family val="2"/>
        <charset val="1"/>
      </font>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D7"/>
      <rgbColor rgb="FFE2EFD9"/>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F2F2F2"/>
      <rgbColor rgb="FFE2F0D9"/>
      <rgbColor rgb="FFFFF2CC"/>
      <rgbColor rgb="FFC5E0B4"/>
      <rgbColor rgb="FFE7E6E6"/>
      <rgbColor rgb="FFCC99FF"/>
      <rgbColor rgb="FFF8CBAD"/>
      <rgbColor rgb="FF3366FF"/>
      <rgbColor rgb="FF33CCCC"/>
      <rgbColor rgb="FFA8D08D"/>
      <rgbColor rgb="FFFFCC00"/>
      <rgbColor rgb="FFFF9900"/>
      <rgbColor rgb="FFFF6600"/>
      <rgbColor rgb="FF666699"/>
      <rgbColor rgb="FFA6A6A6"/>
      <rgbColor rgb="FF003366"/>
      <rgbColor rgb="FF538135"/>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380880</xdr:colOff>
      <xdr:row>0</xdr:row>
      <xdr:rowOff>123840</xdr:rowOff>
    </xdr:from>
    <xdr:to>
      <xdr:col>9</xdr:col>
      <xdr:colOff>465480</xdr:colOff>
      <xdr:row>11</xdr:row>
      <xdr:rowOff>19800</xdr:rowOff>
    </xdr:to>
    <xdr:pic>
      <xdr:nvPicPr>
        <xdr:cNvPr id="2" name="Picture 6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4219920" y="123840"/>
          <a:ext cx="3765240" cy="282024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2:V37"/>
  <sheetViews>
    <sheetView showGridLines="0" tabSelected="1" zoomScaleNormal="100" workbookViewId="0">
      <selection activeCell="C25" sqref="C25"/>
    </sheetView>
  </sheetViews>
  <sheetFormatPr defaultColWidth="8.85546875" defaultRowHeight="15"/>
  <cols>
    <col min="1" max="1" width="3.28515625" customWidth="1"/>
    <col min="2" max="2" width="20.7109375" customWidth="1"/>
    <col min="3" max="3" width="25.28515625" style="1" customWidth="1"/>
    <col min="4" max="4" width="3.28515625" customWidth="1"/>
    <col min="5" max="5" width="2.140625" customWidth="1"/>
    <col min="6" max="6" width="25.5703125" customWidth="1"/>
    <col min="7" max="18" width="8.28515625" customWidth="1"/>
    <col min="19" max="19" width="2.140625" customWidth="1"/>
    <col min="21" max="21" width="15.28515625" customWidth="1"/>
    <col min="22" max="22" width="85.85546875" customWidth="1"/>
  </cols>
  <sheetData>
    <row r="2" spans="2:22" ht="15" customHeight="1">
      <c r="B2" s="54" t="s">
        <v>0</v>
      </c>
      <c r="C2" s="55"/>
      <c r="F2" s="59"/>
      <c r="G2" s="81"/>
      <c r="H2" s="81"/>
      <c r="I2" s="81"/>
      <c r="J2" s="81"/>
      <c r="K2" s="81"/>
      <c r="L2" s="81"/>
      <c r="M2" s="81"/>
      <c r="N2" s="81"/>
      <c r="O2" s="81"/>
      <c r="P2" s="81"/>
      <c r="Q2" s="81"/>
      <c r="R2" s="81"/>
    </row>
    <row r="3" spans="2:22" ht="7.5" customHeight="1">
      <c r="B3" s="2"/>
      <c r="C3" s="2"/>
    </row>
    <row r="4" spans="2:22" ht="15" customHeight="1">
      <c r="B4" s="3" t="s">
        <v>1</v>
      </c>
      <c r="C4" s="2"/>
    </row>
    <row r="5" spans="2:22" ht="7.5" customHeight="1">
      <c r="B5" s="4"/>
      <c r="C5" s="2"/>
    </row>
    <row r="6" spans="2:22" ht="50.25" customHeight="1">
      <c r="B6" s="5" t="s">
        <v>2</v>
      </c>
      <c r="C6" s="6" t="s">
        <v>3</v>
      </c>
      <c r="F6" s="7" t="s">
        <v>4</v>
      </c>
      <c r="G6" s="61" t="s">
        <v>5</v>
      </c>
      <c r="H6" s="82"/>
      <c r="I6" s="82"/>
      <c r="J6" s="82"/>
      <c r="K6" s="82"/>
      <c r="L6" s="82"/>
      <c r="M6" s="82"/>
      <c r="N6" s="82"/>
      <c r="O6" s="82"/>
      <c r="P6" s="82"/>
      <c r="Q6" s="82"/>
      <c r="R6" s="83"/>
    </row>
    <row r="7" spans="2:22" ht="15.75" customHeight="1">
      <c r="B7" s="8"/>
      <c r="C7" s="9"/>
    </row>
    <row r="8" spans="2:22" ht="13.9" customHeight="1">
      <c r="B8" s="10" t="s">
        <v>6</v>
      </c>
      <c r="C8" s="11" t="s">
        <v>7</v>
      </c>
      <c r="F8" s="56" t="s">
        <v>8</v>
      </c>
      <c r="G8" s="58" t="s">
        <v>9</v>
      </c>
      <c r="H8" s="84"/>
      <c r="I8" s="62" t="s">
        <v>10</v>
      </c>
      <c r="J8" s="84"/>
      <c r="K8" s="60" t="s">
        <v>11</v>
      </c>
      <c r="L8" s="84"/>
      <c r="M8" s="60" t="s">
        <v>12</v>
      </c>
      <c r="N8" s="84"/>
      <c r="O8" s="58" t="s">
        <v>13</v>
      </c>
      <c r="P8" s="84"/>
      <c r="Q8" s="58" t="s">
        <v>14</v>
      </c>
      <c r="R8" s="84"/>
      <c r="U8" s="12" t="s">
        <v>15</v>
      </c>
      <c r="V8" s="12" t="s">
        <v>2</v>
      </c>
    </row>
    <row r="9" spans="2:22" ht="15.75" customHeight="1">
      <c r="B9" s="10" t="s">
        <v>16</v>
      </c>
      <c r="C9" s="11" t="s">
        <v>17</v>
      </c>
      <c r="F9" s="85"/>
      <c r="G9" s="13" t="s">
        <v>18</v>
      </c>
      <c r="H9" s="13" t="s">
        <v>19</v>
      </c>
      <c r="I9" s="14" t="s">
        <v>18</v>
      </c>
      <c r="J9" s="14" t="s">
        <v>19</v>
      </c>
      <c r="K9" s="13" t="s">
        <v>18</v>
      </c>
      <c r="L9" s="13" t="s">
        <v>19</v>
      </c>
      <c r="M9" s="14" t="s">
        <v>18</v>
      </c>
      <c r="N9" s="14" t="s">
        <v>19</v>
      </c>
      <c r="O9" s="13" t="s">
        <v>18</v>
      </c>
      <c r="P9" s="13" t="s">
        <v>19</v>
      </c>
      <c r="Q9" s="14" t="s">
        <v>18</v>
      </c>
      <c r="R9" s="14" t="s">
        <v>19</v>
      </c>
      <c r="U9" t="s">
        <v>20</v>
      </c>
      <c r="V9" t="s">
        <v>21</v>
      </c>
    </row>
    <row r="10" spans="2:22" ht="15.75" customHeight="1">
      <c r="B10" s="10" t="s">
        <v>22</v>
      </c>
      <c r="C10" s="15" t="s">
        <v>23</v>
      </c>
      <c r="F10" s="16" t="str">
        <f>LEFT(Definitions!B12,25)&amp;"…"</f>
        <v>Governance, empowerment a…</v>
      </c>
      <c r="G10" s="17" t="str">
        <f>IFERROR(AVERAGE('827d4ae889e4'!C39,bfe5f797be39!C39,'15370cab949a'!C39),"")</f>
        <v/>
      </c>
      <c r="H10" s="17" t="str">
        <f>IFERROR(AVERAGE('827d4ae889e4'!D39,bfe5f797be39!D39,'15370cab949a'!D39),"")</f>
        <v/>
      </c>
      <c r="I10" s="18" t="str">
        <f>IFERROR(AVERAGE('827d4ae889e4'!E39,bfe5f797be39!E39,'15370cab949a'!E39),"")</f>
        <v/>
      </c>
      <c r="J10" s="18" t="str">
        <f>IFERROR(AVERAGE('827d4ae889e4'!F39,bfe5f797be39!F39,'15370cab949a'!F39),"")</f>
        <v/>
      </c>
      <c r="K10" s="17" t="str">
        <f>IFERROR(AVERAGE('827d4ae889e4'!G39,bfe5f797be39!G39,'15370cab949a'!G39),"")</f>
        <v/>
      </c>
      <c r="L10" s="17" t="str">
        <f>IFERROR(AVERAGE('827d4ae889e4'!H39,bfe5f797be39!H39,'15370cab949a'!H39),"")</f>
        <v/>
      </c>
      <c r="M10" s="18" t="str">
        <f>IFERROR(AVERAGE('827d4ae889e4'!I39,bfe5f797be39!I39,'15370cab949a'!I39),"")</f>
        <v/>
      </c>
      <c r="N10" s="18" t="str">
        <f>IFERROR(AVERAGE('827d4ae889e4'!J39,bfe5f797be39!J39,'15370cab949a'!J39),"")</f>
        <v/>
      </c>
      <c r="O10" s="17" t="str">
        <f>IFERROR(AVERAGE('827d4ae889e4'!K39,bfe5f797be39!K39,'15370cab949a'!K39),"")</f>
        <v/>
      </c>
      <c r="P10" s="17" t="str">
        <f>IFERROR(AVERAGE('827d4ae889e4'!L39,bfe5f797be39!L39,'15370cab949a'!L39),"")</f>
        <v/>
      </c>
      <c r="Q10" s="18" t="str">
        <f>IFERROR(AVERAGE('827d4ae889e4'!M39,bfe5f797be39!M39,'15370cab949a'!M39),"")</f>
        <v/>
      </c>
      <c r="R10" s="18" t="str">
        <f>IFERROR(AVERAGE('827d4ae889e4'!N39,bfe5f797be39!N39,'15370cab949a'!N39),"")</f>
        <v/>
      </c>
      <c r="U10" t="s">
        <v>24</v>
      </c>
      <c r="V10" t="s">
        <v>25</v>
      </c>
    </row>
    <row r="11" spans="2:22" ht="15.75" customHeight="1">
      <c r="B11" s="19"/>
      <c r="C11" s="9"/>
      <c r="F11" s="16" t="str">
        <f>LEFT(Definitions!B13,25)&amp;"…"</f>
        <v>Education and capacity bu…</v>
      </c>
      <c r="G11" s="17" t="str">
        <f>IFERROR(AVERAGE('827d4ae889e4'!C40,bfe5f797be39!C40,'15370cab949a'!C40),"")</f>
        <v/>
      </c>
      <c r="H11" s="17" t="str">
        <f>IFERROR(AVERAGE('827d4ae889e4'!D40,bfe5f797be39!D40,'15370cab949a'!D40),"")</f>
        <v/>
      </c>
      <c r="I11" s="18" t="str">
        <f>IFERROR(AVERAGE('827d4ae889e4'!E40,bfe5f797be39!E40,'15370cab949a'!E40),"")</f>
        <v/>
      </c>
      <c r="J11" s="18" t="str">
        <f>IFERROR(AVERAGE('827d4ae889e4'!F40,bfe5f797be39!F40,'15370cab949a'!F40),"")</f>
        <v/>
      </c>
      <c r="K11" s="17" t="str">
        <f>IFERROR(AVERAGE('827d4ae889e4'!G40,bfe5f797be39!G40,'15370cab949a'!G40),"")</f>
        <v/>
      </c>
      <c r="L11" s="17" t="str">
        <f>IFERROR(AVERAGE('827d4ae889e4'!H40,bfe5f797be39!H40,'15370cab949a'!H40),"")</f>
        <v/>
      </c>
      <c r="M11" s="18" t="str">
        <f>IFERROR(AVERAGE('827d4ae889e4'!I40,bfe5f797be39!I40,'15370cab949a'!I40),"")</f>
        <v/>
      </c>
      <c r="N11" s="18" t="str">
        <f>IFERROR(AVERAGE('827d4ae889e4'!J40,bfe5f797be39!J40,'15370cab949a'!J40),"")</f>
        <v/>
      </c>
      <c r="O11" s="17">
        <f>IFERROR(AVERAGE('827d4ae889e4'!K40,bfe5f797be39!K40,'15370cab949a'!K40),"")</f>
        <v>3.5</v>
      </c>
      <c r="P11" s="17" t="str">
        <f>IFERROR(AVERAGE('827d4ae889e4'!L40,bfe5f797be39!L40,'15370cab949a'!L40),"")</f>
        <v/>
      </c>
      <c r="Q11" s="18" t="str">
        <f>IFERROR(AVERAGE('827d4ae889e4'!M40,bfe5f797be39!M40,'15370cab949a'!M40),"")</f>
        <v/>
      </c>
      <c r="R11" s="18" t="str">
        <f>IFERROR(AVERAGE('827d4ae889e4'!N40,bfe5f797be39!N40,'15370cab949a'!N40),"")</f>
        <v/>
      </c>
      <c r="U11" t="s">
        <v>26</v>
      </c>
      <c r="V11" t="s">
        <v>21</v>
      </c>
    </row>
    <row r="12" spans="2:22" ht="15.75" customHeight="1">
      <c r="B12" s="57" t="s">
        <v>27</v>
      </c>
      <c r="C12" s="11" t="s">
        <v>28</v>
      </c>
      <c r="F12" s="16" t="str">
        <f>LEFT(Definitions!B14,25)&amp;"…"</f>
        <v>Innovation, creativity an…</v>
      </c>
      <c r="G12" s="17">
        <f>IFERROR(AVERAGE('827d4ae889e4'!C41,bfe5f797be39!C41,'15370cab949a'!C41),"")</f>
        <v>5</v>
      </c>
      <c r="H12" s="17" t="str">
        <f>IFERROR(AVERAGE('827d4ae889e4'!D41,bfe5f797be39!D41,'15370cab949a'!D41),"")</f>
        <v/>
      </c>
      <c r="I12" s="18" t="str">
        <f>IFERROR(AVERAGE('827d4ae889e4'!E41,bfe5f797be39!E41,'15370cab949a'!E41),"")</f>
        <v/>
      </c>
      <c r="J12" s="18" t="str">
        <f>IFERROR(AVERAGE('827d4ae889e4'!F41,bfe5f797be39!F41,'15370cab949a'!F41),"")</f>
        <v/>
      </c>
      <c r="K12" s="17" t="str">
        <f>IFERROR(AVERAGE('827d4ae889e4'!G41,bfe5f797be39!G41,'15370cab949a'!G41),"")</f>
        <v/>
      </c>
      <c r="L12" s="17" t="str">
        <f>IFERROR(AVERAGE('827d4ae889e4'!H41,bfe5f797be39!H41,'15370cab949a'!H41),"")</f>
        <v/>
      </c>
      <c r="M12" s="18" t="str">
        <f>IFERROR(AVERAGE('827d4ae889e4'!I41,bfe5f797be39!I41,'15370cab949a'!I41),"")</f>
        <v/>
      </c>
      <c r="N12" s="18" t="str">
        <f>IFERROR(AVERAGE('827d4ae889e4'!J41,bfe5f797be39!J41,'15370cab949a'!J41),"")</f>
        <v/>
      </c>
      <c r="O12" s="17" t="str">
        <f>IFERROR(AVERAGE('827d4ae889e4'!K41,bfe5f797be39!K41,'15370cab949a'!K41),"")</f>
        <v/>
      </c>
      <c r="P12" s="17" t="str">
        <f>IFERROR(AVERAGE('827d4ae889e4'!L41,bfe5f797be39!L41,'15370cab949a'!L41),"")</f>
        <v/>
      </c>
      <c r="Q12" s="18" t="str">
        <f>IFERROR(AVERAGE('827d4ae889e4'!M41,bfe5f797be39!M41,'15370cab949a'!M41),"")</f>
        <v/>
      </c>
      <c r="R12" s="18" t="str">
        <f>IFERROR(AVERAGE('827d4ae889e4'!N41,bfe5f797be39!N41,'15370cab949a'!N41),"")</f>
        <v/>
      </c>
    </row>
    <row r="13" spans="2:22" ht="15.75" customHeight="1">
      <c r="B13" s="86"/>
      <c r="C13" s="11"/>
      <c r="F13" s="16" t="str">
        <f>LEFT(Definitions!B15,25)&amp;"…"</f>
        <v>Health and care in the co…</v>
      </c>
      <c r="G13" s="17" t="str">
        <f>IFERROR(AVERAGE('827d4ae889e4'!C42,bfe5f797be39!C42,'15370cab949a'!C42),"")</f>
        <v/>
      </c>
      <c r="H13" s="17" t="str">
        <f>IFERROR(AVERAGE('827d4ae889e4'!D42,bfe5f797be39!D42,'15370cab949a'!D42),"")</f>
        <v/>
      </c>
      <c r="I13" s="18" t="str">
        <f>IFERROR(AVERAGE('827d4ae889e4'!E42,bfe5f797be39!E42,'15370cab949a'!E42),"")</f>
        <v/>
      </c>
      <c r="J13" s="18" t="str">
        <f>IFERROR(AVERAGE('827d4ae889e4'!F42,bfe5f797be39!F42,'15370cab949a'!F42),"")</f>
        <v/>
      </c>
      <c r="K13" s="17" t="str">
        <f>IFERROR(AVERAGE('827d4ae889e4'!G42,bfe5f797be39!G42,'15370cab949a'!G42),"")</f>
        <v/>
      </c>
      <c r="L13" s="17" t="str">
        <f>IFERROR(AVERAGE('827d4ae889e4'!H42,bfe5f797be39!H42,'15370cab949a'!H42),"")</f>
        <v/>
      </c>
      <c r="M13" s="18" t="str">
        <f>IFERROR(AVERAGE('827d4ae889e4'!I42,bfe5f797be39!I42,'15370cab949a'!I42),"")</f>
        <v/>
      </c>
      <c r="N13" s="18" t="str">
        <f>IFERROR(AVERAGE('827d4ae889e4'!J42,bfe5f797be39!J42,'15370cab949a'!J42),"")</f>
        <v/>
      </c>
      <c r="O13" s="17" t="str">
        <f>IFERROR(AVERAGE('827d4ae889e4'!K42,bfe5f797be39!K42,'15370cab949a'!K42),"")</f>
        <v/>
      </c>
      <c r="P13" s="17" t="str">
        <f>IFERROR(AVERAGE('827d4ae889e4'!L42,bfe5f797be39!L42,'15370cab949a'!L42),"")</f>
        <v/>
      </c>
      <c r="Q13" s="18" t="str">
        <f>IFERROR(AVERAGE('827d4ae889e4'!M42,bfe5f797be39!M42,'15370cab949a'!M42),"")</f>
        <v/>
      </c>
      <c r="R13" s="18">
        <f>IFERROR(AVERAGE('827d4ae889e4'!N42,bfe5f797be39!N42,'15370cab949a'!N42),"")</f>
        <v>4</v>
      </c>
    </row>
    <row r="14" spans="2:22" ht="15.75" customHeight="1">
      <c r="B14" s="87"/>
      <c r="C14" s="11"/>
      <c r="F14" s="16" t="str">
        <f>LEFT(Definitions!B16,25)&amp;"…"</f>
        <v>Culture and community ide…</v>
      </c>
      <c r="G14" s="17" t="str">
        <f>IFERROR(AVERAGE('827d4ae889e4'!C43,bfe5f797be39!C43,'15370cab949a'!C43),"")</f>
        <v/>
      </c>
      <c r="H14" s="17" t="str">
        <f>IFERROR(AVERAGE('827d4ae889e4'!D43,bfe5f797be39!D43,'15370cab949a'!D43),"")</f>
        <v/>
      </c>
      <c r="I14" s="18" t="str">
        <f>IFERROR(AVERAGE('827d4ae889e4'!E43,bfe5f797be39!E43,'15370cab949a'!E43),"")</f>
        <v/>
      </c>
      <c r="J14" s="18" t="str">
        <f>IFERROR(AVERAGE('827d4ae889e4'!F43,bfe5f797be39!F43,'15370cab949a'!F43),"")</f>
        <v/>
      </c>
      <c r="K14" s="17" t="str">
        <f>IFERROR(AVERAGE('827d4ae889e4'!G43,bfe5f797be39!G43,'15370cab949a'!G43),"")</f>
        <v/>
      </c>
      <c r="L14" s="17" t="str">
        <f>IFERROR(AVERAGE('827d4ae889e4'!H43,bfe5f797be39!H43,'15370cab949a'!H43),"")</f>
        <v/>
      </c>
      <c r="M14" s="18" t="str">
        <f>IFERROR(AVERAGE('827d4ae889e4'!I43,bfe5f797be39!I43,'15370cab949a'!I43),"")</f>
        <v/>
      </c>
      <c r="N14" s="18" t="str">
        <f>IFERROR(AVERAGE('827d4ae889e4'!J43,bfe5f797be39!J43,'15370cab949a'!J43),"")</f>
        <v/>
      </c>
      <c r="O14" s="17">
        <f>IFERROR(AVERAGE('827d4ae889e4'!K43,bfe5f797be39!K43,'15370cab949a'!K43),"")</f>
        <v>3.5</v>
      </c>
      <c r="P14" s="17" t="str">
        <f>IFERROR(AVERAGE('827d4ae889e4'!L43,bfe5f797be39!L43,'15370cab949a'!L43),"")</f>
        <v/>
      </c>
      <c r="Q14" s="18" t="str">
        <f>IFERROR(AVERAGE('827d4ae889e4'!M43,bfe5f797be39!M43,'15370cab949a'!M43),"")</f>
        <v/>
      </c>
      <c r="R14" s="18" t="str">
        <f>IFERROR(AVERAGE('827d4ae889e4'!N43,bfe5f797be39!N43,'15370cab949a'!N43),"")</f>
        <v/>
      </c>
    </row>
    <row r="15" spans="2:22" ht="15.75" customHeight="1">
      <c r="B15" s="19"/>
      <c r="C15" s="9"/>
      <c r="F15" s="16" t="str">
        <f>LEFT(Definitions!B17,25)&amp;"…"</f>
        <v>Living together, interdep…</v>
      </c>
      <c r="G15" s="17" t="str">
        <f>IFERROR(AVERAGE('827d4ae889e4'!C44,bfe5f797be39!C44,'15370cab949a'!C44),"")</f>
        <v/>
      </c>
      <c r="H15" s="17" t="str">
        <f>IFERROR(AVERAGE('827d4ae889e4'!D44,bfe5f797be39!D44,'15370cab949a'!D44),"")</f>
        <v/>
      </c>
      <c r="I15" s="18" t="str">
        <f>IFERROR(AVERAGE('827d4ae889e4'!E44,bfe5f797be39!E44,'15370cab949a'!E44),"")</f>
        <v/>
      </c>
      <c r="J15" s="18" t="str">
        <f>IFERROR(AVERAGE('827d4ae889e4'!F44,bfe5f797be39!F44,'15370cab949a'!F44),"")</f>
        <v/>
      </c>
      <c r="K15" s="17" t="str">
        <f>IFERROR(AVERAGE('827d4ae889e4'!G44,bfe5f797be39!G44,'15370cab949a'!G44),"")</f>
        <v/>
      </c>
      <c r="L15" s="17" t="str">
        <f>IFERROR(AVERAGE('827d4ae889e4'!H44,bfe5f797be39!H44,'15370cab949a'!H44),"")</f>
        <v/>
      </c>
      <c r="M15" s="18" t="str">
        <f>IFERROR(AVERAGE('827d4ae889e4'!I44,bfe5f797be39!I44,'15370cab949a'!I44),"")</f>
        <v/>
      </c>
      <c r="N15" s="18" t="str">
        <f>IFERROR(AVERAGE('827d4ae889e4'!J44,bfe5f797be39!J44,'15370cab949a'!J44),"")</f>
        <v/>
      </c>
      <c r="O15" s="17" t="str">
        <f>IFERROR(AVERAGE('827d4ae889e4'!K44,bfe5f797be39!K44,'15370cab949a'!K44),"")</f>
        <v/>
      </c>
      <c r="P15" s="17" t="str">
        <f>IFERROR(AVERAGE('827d4ae889e4'!L44,bfe5f797be39!L44,'15370cab949a'!L44),"")</f>
        <v/>
      </c>
      <c r="Q15" s="18" t="str">
        <f>IFERROR(AVERAGE('827d4ae889e4'!M44,bfe5f797be39!M44,'15370cab949a'!M44),"")</f>
        <v/>
      </c>
      <c r="R15" s="18" t="str">
        <f>IFERROR(AVERAGE('827d4ae889e4'!N44,bfe5f797be39!N44,'15370cab949a'!N44),"")</f>
        <v/>
      </c>
    </row>
    <row r="16" spans="2:22" ht="15.75" customHeight="1">
      <c r="B16" s="57" t="s">
        <v>29</v>
      </c>
      <c r="C16" s="11"/>
      <c r="F16" s="16" t="str">
        <f>LEFT(Definitions!B18,25)&amp;"…"</f>
        <v>Economy and sustainable p…</v>
      </c>
      <c r="G16" s="17" t="str">
        <f>IFERROR(AVERAGE('827d4ae889e4'!C45,bfe5f797be39!C45,'15370cab949a'!C45),"")</f>
        <v/>
      </c>
      <c r="H16" s="17" t="str">
        <f>IFERROR(AVERAGE('827d4ae889e4'!D45,bfe5f797be39!D45,'15370cab949a'!D45),"")</f>
        <v/>
      </c>
      <c r="I16" s="18" t="str">
        <f>IFERROR(AVERAGE('827d4ae889e4'!E45,bfe5f797be39!E45,'15370cab949a'!E45),"")</f>
        <v/>
      </c>
      <c r="J16" s="18" t="str">
        <f>IFERROR(AVERAGE('827d4ae889e4'!F45,bfe5f797be39!F45,'15370cab949a'!F45),"")</f>
        <v/>
      </c>
      <c r="K16" s="17" t="str">
        <f>IFERROR(AVERAGE('827d4ae889e4'!G45,bfe5f797be39!G45,'15370cab949a'!G45),"")</f>
        <v/>
      </c>
      <c r="L16" s="17" t="str">
        <f>IFERROR(AVERAGE('827d4ae889e4'!H45,bfe5f797be39!H45,'15370cab949a'!H45),"")</f>
        <v/>
      </c>
      <c r="M16" s="18" t="str">
        <f>IFERROR(AVERAGE('827d4ae889e4'!I45,bfe5f797be39!I45,'15370cab949a'!I45),"")</f>
        <v/>
      </c>
      <c r="N16" s="18" t="str">
        <f>IFERROR(AVERAGE('827d4ae889e4'!J45,bfe5f797be39!J45,'15370cab949a'!J45),"")</f>
        <v/>
      </c>
      <c r="O16" s="17" t="str">
        <f>IFERROR(AVERAGE('827d4ae889e4'!K45,bfe5f797be39!K45,'15370cab949a'!K45),"")</f>
        <v/>
      </c>
      <c r="P16" s="17" t="str">
        <f>IFERROR(AVERAGE('827d4ae889e4'!L45,bfe5f797be39!L45,'15370cab949a'!L45),"")</f>
        <v/>
      </c>
      <c r="Q16" s="18" t="str">
        <f>IFERROR(AVERAGE('827d4ae889e4'!M45,bfe5f797be39!M45,'15370cab949a'!M45),"")</f>
        <v/>
      </c>
      <c r="R16" s="18" t="str">
        <f>IFERROR(AVERAGE('827d4ae889e4'!N45,bfe5f797be39!N45,'15370cab949a'!N45),"")</f>
        <v/>
      </c>
    </row>
    <row r="17" spans="2:18" ht="15.75" customHeight="1">
      <c r="B17" s="86"/>
      <c r="C17" s="11"/>
      <c r="F17" s="16" t="str">
        <f>LEFT(Definitions!B19,25)&amp;"…"</f>
        <v>Living and working enviro…</v>
      </c>
      <c r="G17" s="17" t="str">
        <f>IFERROR(AVERAGE('827d4ae889e4'!C46,bfe5f797be39!C46,'15370cab949a'!C46),"")</f>
        <v/>
      </c>
      <c r="H17" s="17" t="str">
        <f>IFERROR(AVERAGE('827d4ae889e4'!D46,bfe5f797be39!D46,'15370cab949a'!D46),"")</f>
        <v/>
      </c>
      <c r="I17" s="18" t="str">
        <f>IFERROR(AVERAGE('827d4ae889e4'!E46,bfe5f797be39!E46,'15370cab949a'!E46),"")</f>
        <v/>
      </c>
      <c r="J17" s="18" t="str">
        <f>IFERROR(AVERAGE('827d4ae889e4'!F46,bfe5f797be39!F46,'15370cab949a'!F46),"")</f>
        <v/>
      </c>
      <c r="K17" s="17" t="str">
        <f>IFERROR(AVERAGE('827d4ae889e4'!G46,bfe5f797be39!G46,'15370cab949a'!G46),"")</f>
        <v/>
      </c>
      <c r="L17" s="17" t="str">
        <f>IFERROR(AVERAGE('827d4ae889e4'!H46,bfe5f797be39!H46,'15370cab949a'!H46),"")</f>
        <v/>
      </c>
      <c r="M17" s="18">
        <f>IFERROR(AVERAGE('827d4ae889e4'!I46,bfe5f797be39!I46,'15370cab949a'!I46),"")</f>
        <v>3</v>
      </c>
      <c r="N17" s="18">
        <f>IFERROR(AVERAGE('827d4ae889e4'!J46,bfe5f797be39!J46,'15370cab949a'!J46),"")</f>
        <v>3</v>
      </c>
      <c r="O17" s="17" t="str">
        <f>IFERROR(AVERAGE('827d4ae889e4'!K46,bfe5f797be39!K46,'15370cab949a'!K46),"")</f>
        <v/>
      </c>
      <c r="P17" s="17" t="str">
        <f>IFERROR(AVERAGE('827d4ae889e4'!L46,bfe5f797be39!L46,'15370cab949a'!L46),"")</f>
        <v/>
      </c>
      <c r="Q17" s="18">
        <f>IFERROR(AVERAGE('827d4ae889e4'!M46,bfe5f797be39!M46,'15370cab949a'!M46),"")</f>
        <v>4</v>
      </c>
      <c r="R17" s="18" t="str">
        <f>IFERROR(AVERAGE('827d4ae889e4'!N46,bfe5f797be39!N46,'15370cab949a'!N46),"")</f>
        <v/>
      </c>
    </row>
    <row r="18" spans="2:18" ht="15.75" customHeight="1">
      <c r="B18" s="87"/>
      <c r="C18" s="11"/>
      <c r="F18" s="16" t="str">
        <f>LEFT(Definitions!B20,25)&amp;"…"</f>
        <v>Safety and security…</v>
      </c>
      <c r="G18" s="17" t="str">
        <f>IFERROR(AVERAGE('827d4ae889e4'!C47,bfe5f797be39!C47,'15370cab949a'!C47),"")</f>
        <v/>
      </c>
      <c r="H18" s="17" t="str">
        <f>IFERROR(AVERAGE('827d4ae889e4'!D47,bfe5f797be39!D47,'15370cab949a'!D47),"")</f>
        <v/>
      </c>
      <c r="I18" s="18" t="str">
        <f>IFERROR(AVERAGE('827d4ae889e4'!E47,bfe5f797be39!E47,'15370cab949a'!E47),"")</f>
        <v/>
      </c>
      <c r="J18" s="18" t="str">
        <f>IFERROR(AVERAGE('827d4ae889e4'!F47,bfe5f797be39!F47,'15370cab949a'!F47),"")</f>
        <v/>
      </c>
      <c r="K18" s="17" t="str">
        <f>IFERROR(AVERAGE('827d4ae889e4'!G47,bfe5f797be39!G47,'15370cab949a'!G47),"")</f>
        <v/>
      </c>
      <c r="L18" s="17" t="str">
        <f>IFERROR(AVERAGE('827d4ae889e4'!H47,bfe5f797be39!H47,'15370cab949a'!H47),"")</f>
        <v/>
      </c>
      <c r="M18" s="18" t="str">
        <f>IFERROR(AVERAGE('827d4ae889e4'!I47,bfe5f797be39!I47,'15370cab949a'!I47),"")</f>
        <v/>
      </c>
      <c r="N18" s="18" t="str">
        <f>IFERROR(AVERAGE('827d4ae889e4'!J47,bfe5f797be39!J47,'15370cab949a'!J47),"")</f>
        <v/>
      </c>
      <c r="O18" s="17" t="str">
        <f>IFERROR(AVERAGE('827d4ae889e4'!K47,bfe5f797be39!K47,'15370cab949a'!K47),"")</f>
        <v/>
      </c>
      <c r="P18" s="17" t="str">
        <f>IFERROR(AVERAGE('827d4ae889e4'!L47,bfe5f797be39!L47,'15370cab949a'!L47),"")</f>
        <v/>
      </c>
      <c r="Q18" s="18" t="str">
        <f>IFERROR(AVERAGE('827d4ae889e4'!M47,bfe5f797be39!M47,'15370cab949a'!M47),"")</f>
        <v/>
      </c>
      <c r="R18" s="18" t="str">
        <f>IFERROR(AVERAGE('827d4ae889e4'!N47,bfe5f797be39!N47,'15370cab949a'!N47),"")</f>
        <v/>
      </c>
    </row>
    <row r="19" spans="2:18" ht="15.75" customHeight="1">
      <c r="B19" s="20"/>
      <c r="C19" s="9"/>
      <c r="F19" s="16" t="str">
        <f>LEFT(Definitions!B21,25)&amp;"…"</f>
        <v>Biodiversity and ecosyste…</v>
      </c>
      <c r="G19" s="17" t="str">
        <f>IFERROR(AVERAGE('827d4ae889e4'!C48,bfe5f797be39!C48,'15370cab949a'!C48),"")</f>
        <v/>
      </c>
      <c r="H19" s="17" t="str">
        <f>IFERROR(AVERAGE('827d4ae889e4'!D48,bfe5f797be39!D48,'15370cab949a'!D48),"")</f>
        <v/>
      </c>
      <c r="I19" s="18">
        <f>IFERROR(AVERAGE('827d4ae889e4'!E48,bfe5f797be39!E48,'15370cab949a'!E48),"")</f>
        <v>4</v>
      </c>
      <c r="J19" s="18" t="str">
        <f>IFERROR(AVERAGE('827d4ae889e4'!F48,bfe5f797be39!F48,'15370cab949a'!F48),"")</f>
        <v/>
      </c>
      <c r="K19" s="17" t="str">
        <f>IFERROR(AVERAGE('827d4ae889e4'!G48,bfe5f797be39!G48,'15370cab949a'!G48),"")</f>
        <v/>
      </c>
      <c r="L19" s="17">
        <f>IFERROR(AVERAGE('827d4ae889e4'!H48,bfe5f797be39!H48,'15370cab949a'!H48),"")</f>
        <v>4</v>
      </c>
      <c r="M19" s="18">
        <f>IFERROR(AVERAGE('827d4ae889e4'!I48,bfe5f797be39!I48,'15370cab949a'!I48),"")</f>
        <v>4</v>
      </c>
      <c r="N19" s="18" t="str">
        <f>IFERROR(AVERAGE('827d4ae889e4'!J48,bfe5f797be39!J48,'15370cab949a'!J48),"")</f>
        <v/>
      </c>
      <c r="O19" s="17" t="str">
        <f>IFERROR(AVERAGE('827d4ae889e4'!K48,bfe5f797be39!K48,'15370cab949a'!K48),"")</f>
        <v/>
      </c>
      <c r="P19" s="17" t="str">
        <f>IFERROR(AVERAGE('827d4ae889e4'!L48,bfe5f797be39!L48,'15370cab949a'!L48),"")</f>
        <v/>
      </c>
      <c r="Q19" s="18" t="str">
        <f>IFERROR(AVERAGE('827d4ae889e4'!M48,bfe5f797be39!M48,'15370cab949a'!M48),"")</f>
        <v/>
      </c>
      <c r="R19" s="18" t="str">
        <f>IFERROR(AVERAGE('827d4ae889e4'!N48,bfe5f797be39!N48,'15370cab949a'!N48),"")</f>
        <v/>
      </c>
    </row>
    <row r="20" spans="2:18" ht="15.75" customHeight="1">
      <c r="B20" s="57" t="s">
        <v>30</v>
      </c>
      <c r="C20" s="11"/>
      <c r="F20" s="16" t="str">
        <f>LEFT(Definitions!B22,25)&amp;"…"</f>
        <v>Community smart infrastru…</v>
      </c>
      <c r="G20" s="17" t="str">
        <f>IFERROR(AVERAGE('827d4ae889e4'!C49,bfe5f797be39!C49,'15370cab949a'!C49),"")</f>
        <v/>
      </c>
      <c r="H20" s="17" t="str">
        <f>IFERROR(AVERAGE('827d4ae889e4'!D49,bfe5f797be39!D49,'15370cab949a'!D49),"")</f>
        <v/>
      </c>
      <c r="I20" s="18" t="str">
        <f>IFERROR(AVERAGE('827d4ae889e4'!E49,bfe5f797be39!E49,'15370cab949a'!E49),"")</f>
        <v/>
      </c>
      <c r="J20" s="18" t="str">
        <f>IFERROR(AVERAGE('827d4ae889e4'!F49,bfe5f797be39!F49,'15370cab949a'!F49),"")</f>
        <v/>
      </c>
      <c r="K20" s="17" t="str">
        <f>IFERROR(AVERAGE('827d4ae889e4'!G49,bfe5f797be39!G49,'15370cab949a'!G49),"")</f>
        <v/>
      </c>
      <c r="L20" s="17">
        <f>IFERROR(AVERAGE('827d4ae889e4'!H49,bfe5f797be39!H49,'15370cab949a'!H49),"")</f>
        <v>4</v>
      </c>
      <c r="M20" s="18" t="str">
        <f>IFERROR(AVERAGE('827d4ae889e4'!I49,bfe5f797be39!I49,'15370cab949a'!I49),"")</f>
        <v/>
      </c>
      <c r="N20" s="18" t="str">
        <f>IFERROR(AVERAGE('827d4ae889e4'!J49,bfe5f797be39!J49,'15370cab949a'!J49),"")</f>
        <v/>
      </c>
      <c r="O20" s="17" t="str">
        <f>IFERROR(AVERAGE('827d4ae889e4'!K49,bfe5f797be39!K49,'15370cab949a'!K49),"")</f>
        <v/>
      </c>
      <c r="P20" s="17" t="str">
        <f>IFERROR(AVERAGE('827d4ae889e4'!L49,bfe5f797be39!L49,'15370cab949a'!L49),"")</f>
        <v/>
      </c>
      <c r="Q20" s="18" t="str">
        <f>IFERROR(AVERAGE('827d4ae889e4'!M49,bfe5f797be39!M49,'15370cab949a'!M49),"")</f>
        <v/>
      </c>
      <c r="R20" s="18" t="str">
        <f>IFERROR(AVERAGE('827d4ae889e4'!N49,bfe5f797be39!N49,'15370cab949a'!N49),"")</f>
        <v/>
      </c>
    </row>
    <row r="21" spans="2:18" ht="15.75" customHeight="1">
      <c r="B21" s="86"/>
      <c r="C21" s="11"/>
      <c r="F21" s="16" t="str">
        <f>LEFT(Definitions!B23,25)&amp;"…"</f>
        <v>Mobility…</v>
      </c>
      <c r="G21" s="17" t="str">
        <f>IFERROR(AVERAGE('827d4ae889e4'!C50,bfe5f797be39!C50,'15370cab949a'!C50),"")</f>
        <v/>
      </c>
      <c r="H21" s="17" t="str">
        <f>IFERROR(AVERAGE('827d4ae889e4'!D50,bfe5f797be39!D50,'15370cab949a'!D50),"")</f>
        <v/>
      </c>
      <c r="I21" s="18" t="str">
        <f>IFERROR(AVERAGE('827d4ae889e4'!E50,bfe5f797be39!E50,'15370cab949a'!E50),"")</f>
        <v/>
      </c>
      <c r="J21" s="18" t="str">
        <f>IFERROR(AVERAGE('827d4ae889e4'!F50,bfe5f797be39!F50,'15370cab949a'!F50),"")</f>
        <v/>
      </c>
      <c r="K21" s="17" t="str">
        <f>IFERROR(AVERAGE('827d4ae889e4'!G50,bfe5f797be39!G50,'15370cab949a'!G50),"")</f>
        <v/>
      </c>
      <c r="L21" s="17" t="str">
        <f>IFERROR(AVERAGE('827d4ae889e4'!H50,bfe5f797be39!H50,'15370cab949a'!H50),"")</f>
        <v/>
      </c>
      <c r="M21" s="18" t="str">
        <f>IFERROR(AVERAGE('827d4ae889e4'!I50,bfe5f797be39!I50,'15370cab949a'!I50),"")</f>
        <v/>
      </c>
      <c r="N21" s="18" t="str">
        <f>IFERROR(AVERAGE('827d4ae889e4'!J50,bfe5f797be39!J50,'15370cab949a'!J50),"")</f>
        <v/>
      </c>
      <c r="O21" s="17" t="str">
        <f>IFERROR(AVERAGE('827d4ae889e4'!K50,bfe5f797be39!K50,'15370cab949a'!K50),"")</f>
        <v/>
      </c>
      <c r="P21" s="17" t="str">
        <f>IFERROR(AVERAGE('827d4ae889e4'!L50,bfe5f797be39!L50,'15370cab949a'!L50),"")</f>
        <v/>
      </c>
      <c r="Q21" s="18" t="str">
        <f>IFERROR(AVERAGE('827d4ae889e4'!M50,bfe5f797be39!M50,'15370cab949a'!M50),"")</f>
        <v/>
      </c>
      <c r="R21" s="18" t="str">
        <f>IFERROR(AVERAGE('827d4ae889e4'!N50,bfe5f797be39!N50,'15370cab949a'!N50),"")</f>
        <v/>
      </c>
    </row>
    <row r="22" spans="2:18" ht="15" customHeight="1">
      <c r="B22" s="87"/>
      <c r="C22" s="11"/>
    </row>
    <row r="23" spans="2:18" ht="13.5" customHeight="1"/>
    <row r="24" spans="2:18" ht="15.75" customHeight="1">
      <c r="B24" s="21" t="s">
        <v>31</v>
      </c>
      <c r="C24" s="22" t="s">
        <v>32</v>
      </c>
      <c r="F24" s="56" t="s">
        <v>33</v>
      </c>
      <c r="G24" s="58" t="s">
        <v>9</v>
      </c>
      <c r="H24" s="84"/>
      <c r="I24" s="62" t="s">
        <v>10</v>
      </c>
      <c r="J24" s="84"/>
      <c r="K24" s="60" t="s">
        <v>11</v>
      </c>
      <c r="L24" s="84"/>
      <c r="M24" s="60" t="s">
        <v>12</v>
      </c>
      <c r="N24" s="84"/>
      <c r="O24" s="58" t="s">
        <v>13</v>
      </c>
      <c r="P24" s="84"/>
      <c r="Q24" s="58" t="s">
        <v>14</v>
      </c>
      <c r="R24" s="84"/>
    </row>
    <row r="25" spans="2:18" ht="15.75" customHeight="1">
      <c r="F25" s="85"/>
      <c r="G25" s="13" t="s">
        <v>18</v>
      </c>
      <c r="H25" s="13" t="s">
        <v>19</v>
      </c>
      <c r="I25" s="14" t="s">
        <v>18</v>
      </c>
      <c r="J25" s="14" t="s">
        <v>19</v>
      </c>
      <c r="K25" s="13" t="s">
        <v>18</v>
      </c>
      <c r="L25" s="13" t="s">
        <v>19</v>
      </c>
      <c r="M25" s="14" t="s">
        <v>18</v>
      </c>
      <c r="N25" s="14" t="s">
        <v>19</v>
      </c>
      <c r="O25" s="13" t="s">
        <v>18</v>
      </c>
      <c r="P25" s="13" t="s">
        <v>19</v>
      </c>
      <c r="Q25" s="14" t="s">
        <v>18</v>
      </c>
      <c r="R25" s="14" t="s">
        <v>19</v>
      </c>
    </row>
    <row r="26" spans="2:18" ht="15.75" customHeight="1">
      <c r="F26" s="16" t="str">
        <f>F10</f>
        <v>Governance, empowerment a…</v>
      </c>
      <c r="G26" s="17" t="str">
        <f>IF(ISNUMBER('827d4ae889e4'!C39)+ISNUMBER(bfe5f797be39!C39)+ISNUMBER('15370cab949a'!C39),ISNUMBER('827d4ae889e4'!C39)+ISNUMBER(bfe5f797be39!C39)+ISNUMBER('15370cab949a'!C39),"")</f>
        <v/>
      </c>
      <c r="H26" s="17" t="str">
        <f>IF(ISNUMBER('827d4ae889e4'!D39)+ISNUMBER(bfe5f797be39!D39)+ISNUMBER('15370cab949a'!D39),ISNUMBER('827d4ae889e4'!D39)+ISNUMBER(bfe5f797be39!D39)+ISNUMBER('15370cab949a'!D39),"")</f>
        <v/>
      </c>
      <c r="I26" s="18" t="str">
        <f>IF(ISNUMBER('827d4ae889e4'!E39)+ISNUMBER(bfe5f797be39!E39)+ISNUMBER('15370cab949a'!E39),ISNUMBER('827d4ae889e4'!E39)+ISNUMBER(bfe5f797be39!E39)+ISNUMBER('15370cab949a'!E39),"")</f>
        <v/>
      </c>
      <c r="J26" s="18" t="str">
        <f>IF(ISNUMBER('827d4ae889e4'!F39)+ISNUMBER(bfe5f797be39!F39)+ISNUMBER('15370cab949a'!F39),ISNUMBER('827d4ae889e4'!F39)+ISNUMBER(bfe5f797be39!F39)+ISNUMBER('15370cab949a'!F39),"")</f>
        <v/>
      </c>
      <c r="K26" s="17" t="str">
        <f>IF(ISNUMBER('827d4ae889e4'!G39)+ISNUMBER(bfe5f797be39!G39)+ISNUMBER('15370cab949a'!G39),ISNUMBER('827d4ae889e4'!G39)+ISNUMBER(bfe5f797be39!G39)+ISNUMBER('15370cab949a'!G39),"")</f>
        <v/>
      </c>
      <c r="L26" s="17" t="str">
        <f>IF(ISNUMBER('827d4ae889e4'!H39)+ISNUMBER(bfe5f797be39!H39)+ISNUMBER('15370cab949a'!H39),ISNUMBER('827d4ae889e4'!H39)+ISNUMBER(bfe5f797be39!H39)+ISNUMBER('15370cab949a'!H39),"")</f>
        <v/>
      </c>
      <c r="M26" s="18" t="str">
        <f>IF(ISNUMBER('827d4ae889e4'!I39)+ISNUMBER(bfe5f797be39!I39)+ISNUMBER('15370cab949a'!I39),ISNUMBER('827d4ae889e4'!I39)+ISNUMBER(bfe5f797be39!I39)+ISNUMBER('15370cab949a'!I39),"")</f>
        <v/>
      </c>
      <c r="N26" s="18" t="str">
        <f>IF(ISNUMBER('827d4ae889e4'!J39)+ISNUMBER(bfe5f797be39!J39)+ISNUMBER('15370cab949a'!J39),ISNUMBER('827d4ae889e4'!J39)+ISNUMBER(bfe5f797be39!J39)+ISNUMBER('15370cab949a'!J39),"")</f>
        <v/>
      </c>
      <c r="O26" s="17" t="str">
        <f>IF(ISNUMBER('827d4ae889e4'!K39)+ISNUMBER(bfe5f797be39!K39)+ISNUMBER('15370cab949a'!K39),ISNUMBER('827d4ae889e4'!K39)+ISNUMBER(bfe5f797be39!K39)+ISNUMBER('15370cab949a'!K39),"")</f>
        <v/>
      </c>
      <c r="P26" s="17" t="str">
        <f>IF(ISNUMBER('827d4ae889e4'!L39)+ISNUMBER(bfe5f797be39!L39)+ISNUMBER('15370cab949a'!L39),ISNUMBER('827d4ae889e4'!L39)+ISNUMBER(bfe5f797be39!L39)+ISNUMBER('15370cab949a'!L39),"")</f>
        <v/>
      </c>
      <c r="Q26" s="18" t="str">
        <f>IF(ISNUMBER('827d4ae889e4'!M39)+ISNUMBER(bfe5f797be39!M39)+ISNUMBER('15370cab949a'!M39),ISNUMBER('827d4ae889e4'!M39)+ISNUMBER(bfe5f797be39!M39)+ISNUMBER('15370cab949a'!M39),"")</f>
        <v/>
      </c>
      <c r="R26" s="18" t="str">
        <f>IF(ISNUMBER('827d4ae889e4'!N39)+ISNUMBER(bfe5f797be39!N39)+ISNUMBER('15370cab949a'!N39),ISNUMBER('827d4ae889e4'!N39)+ISNUMBER(bfe5f797be39!N39)+ISNUMBER('15370cab949a'!N39),"")</f>
        <v/>
      </c>
    </row>
    <row r="27" spans="2:18" ht="15.75" customHeight="1">
      <c r="F27" s="16" t="str">
        <f>F11</f>
        <v>Education and capacity bu…</v>
      </c>
      <c r="G27" s="17" t="str">
        <f>IF(ISNUMBER('827d4ae889e4'!C40)+ISNUMBER(bfe5f797be39!C40)+ISNUMBER('15370cab949a'!C40),ISNUMBER('827d4ae889e4'!C40)+ISNUMBER(bfe5f797be39!C40)+ISNUMBER('15370cab949a'!C40),"")</f>
        <v/>
      </c>
      <c r="H27" s="17" t="str">
        <f>IF(ISNUMBER('827d4ae889e4'!D40)+ISNUMBER(bfe5f797be39!D40)+ISNUMBER('15370cab949a'!D40),ISNUMBER('827d4ae889e4'!D40)+ISNUMBER(bfe5f797be39!D40)+ISNUMBER('15370cab949a'!D40),"")</f>
        <v/>
      </c>
      <c r="I27" s="18" t="str">
        <f>IF(ISNUMBER('827d4ae889e4'!E40)+ISNUMBER(bfe5f797be39!E40)+ISNUMBER('15370cab949a'!E40),ISNUMBER('827d4ae889e4'!E40)+ISNUMBER(bfe5f797be39!E40)+ISNUMBER('15370cab949a'!E40),"")</f>
        <v/>
      </c>
      <c r="J27" s="18" t="str">
        <f>IF(ISNUMBER('827d4ae889e4'!F40)+ISNUMBER(bfe5f797be39!F40)+ISNUMBER('15370cab949a'!F40),ISNUMBER('827d4ae889e4'!F40)+ISNUMBER(bfe5f797be39!F40)+ISNUMBER('15370cab949a'!F40),"")</f>
        <v/>
      </c>
      <c r="K27" s="17" t="str">
        <f>IF(ISNUMBER('827d4ae889e4'!G40)+ISNUMBER(bfe5f797be39!G40)+ISNUMBER('15370cab949a'!G40),ISNUMBER('827d4ae889e4'!G40)+ISNUMBER(bfe5f797be39!G40)+ISNUMBER('15370cab949a'!G40),"")</f>
        <v/>
      </c>
      <c r="L27" s="17" t="str">
        <f>IF(ISNUMBER('827d4ae889e4'!H40)+ISNUMBER(bfe5f797be39!H40)+ISNUMBER('15370cab949a'!H40),ISNUMBER('827d4ae889e4'!H40)+ISNUMBER(bfe5f797be39!H40)+ISNUMBER('15370cab949a'!H40),"")</f>
        <v/>
      </c>
      <c r="M27" s="18" t="str">
        <f>IF(ISNUMBER('827d4ae889e4'!I40)+ISNUMBER(bfe5f797be39!I40)+ISNUMBER('15370cab949a'!I40),ISNUMBER('827d4ae889e4'!I40)+ISNUMBER(bfe5f797be39!I40)+ISNUMBER('15370cab949a'!I40),"")</f>
        <v/>
      </c>
      <c r="N27" s="18" t="str">
        <f>IF(ISNUMBER('827d4ae889e4'!J40)+ISNUMBER(bfe5f797be39!J40)+ISNUMBER('15370cab949a'!J40),ISNUMBER('827d4ae889e4'!J40)+ISNUMBER(bfe5f797be39!J40)+ISNUMBER('15370cab949a'!J40),"")</f>
        <v/>
      </c>
      <c r="O27" s="17">
        <f>IF(ISNUMBER('827d4ae889e4'!K40)+ISNUMBER(bfe5f797be39!K40)+ISNUMBER('15370cab949a'!K40),ISNUMBER('827d4ae889e4'!K40)+ISNUMBER(bfe5f797be39!K40)+ISNUMBER('15370cab949a'!K40),"")</f>
        <v>2</v>
      </c>
      <c r="P27" s="17" t="str">
        <f>IF(ISNUMBER('827d4ae889e4'!L40)+ISNUMBER(bfe5f797be39!L40)+ISNUMBER('15370cab949a'!L40),ISNUMBER('827d4ae889e4'!L40)+ISNUMBER(bfe5f797be39!L40)+ISNUMBER('15370cab949a'!L40),"")</f>
        <v/>
      </c>
      <c r="Q27" s="18" t="str">
        <f>IF(ISNUMBER('827d4ae889e4'!M40)+ISNUMBER(bfe5f797be39!M40)+ISNUMBER('15370cab949a'!M40),ISNUMBER('827d4ae889e4'!M40)+ISNUMBER(bfe5f797be39!M40)+ISNUMBER('15370cab949a'!M40),"")</f>
        <v/>
      </c>
      <c r="R27" s="18" t="str">
        <f>IF(ISNUMBER('827d4ae889e4'!N40)+ISNUMBER(bfe5f797be39!N40)+ISNUMBER('15370cab949a'!N40),ISNUMBER('827d4ae889e4'!N40)+ISNUMBER(bfe5f797be39!N40)+ISNUMBER('15370cab949a'!N40),"")</f>
        <v/>
      </c>
    </row>
    <row r="28" spans="2:18" ht="15.75" customHeight="1">
      <c r="F28" s="16" t="str">
        <f>F12</f>
        <v>Innovation, creativity an…</v>
      </c>
      <c r="G28" s="17">
        <f>IF(ISNUMBER('827d4ae889e4'!C41)+ISNUMBER(bfe5f797be39!C41)+ISNUMBER('15370cab949a'!C41),ISNUMBER('827d4ae889e4'!C41)+ISNUMBER(bfe5f797be39!C41)+ISNUMBER('15370cab949a'!C41),"")</f>
        <v>3</v>
      </c>
      <c r="H28" s="17" t="str">
        <f>IF(ISNUMBER('827d4ae889e4'!D41)+ISNUMBER(bfe5f797be39!D41)+ISNUMBER('15370cab949a'!D41),ISNUMBER('827d4ae889e4'!D41)+ISNUMBER(bfe5f797be39!D41)+ISNUMBER('15370cab949a'!D41),"")</f>
        <v/>
      </c>
      <c r="I28" s="18" t="str">
        <f>IF(ISNUMBER('827d4ae889e4'!E41)+ISNUMBER(bfe5f797be39!E41)+ISNUMBER('15370cab949a'!E41),ISNUMBER('827d4ae889e4'!E41)+ISNUMBER(bfe5f797be39!E41)+ISNUMBER('15370cab949a'!E41),"")</f>
        <v/>
      </c>
      <c r="J28" s="18" t="str">
        <f>IF(ISNUMBER('827d4ae889e4'!F41)+ISNUMBER(bfe5f797be39!F41)+ISNUMBER('15370cab949a'!F41),ISNUMBER('827d4ae889e4'!F41)+ISNUMBER(bfe5f797be39!F41)+ISNUMBER('15370cab949a'!F41),"")</f>
        <v/>
      </c>
      <c r="K28" s="17" t="str">
        <f>IF(ISNUMBER('827d4ae889e4'!G41)+ISNUMBER(bfe5f797be39!G41)+ISNUMBER('15370cab949a'!G41),ISNUMBER('827d4ae889e4'!G41)+ISNUMBER(bfe5f797be39!G41)+ISNUMBER('15370cab949a'!G41),"")</f>
        <v/>
      </c>
      <c r="L28" s="17" t="str">
        <f>IF(ISNUMBER('827d4ae889e4'!H41)+ISNUMBER(bfe5f797be39!H41)+ISNUMBER('15370cab949a'!H41),ISNUMBER('827d4ae889e4'!H41)+ISNUMBER(bfe5f797be39!H41)+ISNUMBER('15370cab949a'!H41),"")</f>
        <v/>
      </c>
      <c r="M28" s="18" t="str">
        <f>IF(ISNUMBER('827d4ae889e4'!I41)+ISNUMBER(bfe5f797be39!I41)+ISNUMBER('15370cab949a'!I41),ISNUMBER('827d4ae889e4'!I41)+ISNUMBER(bfe5f797be39!I41)+ISNUMBER('15370cab949a'!I41),"")</f>
        <v/>
      </c>
      <c r="N28" s="18" t="str">
        <f>IF(ISNUMBER('827d4ae889e4'!J41)+ISNUMBER(bfe5f797be39!J41)+ISNUMBER('15370cab949a'!J41),ISNUMBER('827d4ae889e4'!J41)+ISNUMBER(bfe5f797be39!J41)+ISNUMBER('15370cab949a'!J41),"")</f>
        <v/>
      </c>
      <c r="O28" s="17" t="str">
        <f>IF(ISNUMBER('827d4ae889e4'!K41)+ISNUMBER(bfe5f797be39!K41)+ISNUMBER('15370cab949a'!K41),ISNUMBER('827d4ae889e4'!K41)+ISNUMBER(bfe5f797be39!K41)+ISNUMBER('15370cab949a'!K41),"")</f>
        <v/>
      </c>
      <c r="P28" s="17" t="str">
        <f>IF(ISNUMBER('827d4ae889e4'!L41)+ISNUMBER(bfe5f797be39!L41)+ISNUMBER('15370cab949a'!L41),ISNUMBER('827d4ae889e4'!L41)+ISNUMBER(bfe5f797be39!L41)+ISNUMBER('15370cab949a'!L41),"")</f>
        <v/>
      </c>
      <c r="Q28" s="18" t="str">
        <f>IF(ISNUMBER('827d4ae889e4'!M41)+ISNUMBER(bfe5f797be39!M41)+ISNUMBER('15370cab949a'!M41),ISNUMBER('827d4ae889e4'!M41)+ISNUMBER(bfe5f797be39!M41)+ISNUMBER('15370cab949a'!M41),"")</f>
        <v/>
      </c>
      <c r="R28" s="18" t="str">
        <f>IF(ISNUMBER('827d4ae889e4'!N41)+ISNUMBER(bfe5f797be39!N41)+ISNUMBER('15370cab949a'!N41),ISNUMBER('827d4ae889e4'!N41)+ISNUMBER(bfe5f797be39!N41)+ISNUMBER('15370cab949a'!N41),"")</f>
        <v/>
      </c>
    </row>
    <row r="29" spans="2:18" ht="15.75" customHeight="1">
      <c r="F29" s="16" t="str">
        <f>F13</f>
        <v>Health and care in the co…</v>
      </c>
      <c r="G29" s="17" t="str">
        <f>IF(ISNUMBER('827d4ae889e4'!C42)+ISNUMBER(bfe5f797be39!C42)+ISNUMBER('15370cab949a'!C42),ISNUMBER('827d4ae889e4'!C42)+ISNUMBER(bfe5f797be39!C42)+ISNUMBER('15370cab949a'!C42),"")</f>
        <v/>
      </c>
      <c r="H29" s="17" t="str">
        <f>IF(ISNUMBER('827d4ae889e4'!D42)+ISNUMBER(bfe5f797be39!D42)+ISNUMBER('15370cab949a'!D42),ISNUMBER('827d4ae889e4'!D42)+ISNUMBER(bfe5f797be39!D42)+ISNUMBER('15370cab949a'!D42),"")</f>
        <v/>
      </c>
      <c r="I29" s="18" t="str">
        <f>IF(ISNUMBER('827d4ae889e4'!E42)+ISNUMBER(bfe5f797be39!E42)+ISNUMBER('15370cab949a'!E42),ISNUMBER('827d4ae889e4'!E42)+ISNUMBER(bfe5f797be39!E42)+ISNUMBER('15370cab949a'!E42),"")</f>
        <v/>
      </c>
      <c r="J29" s="18" t="str">
        <f>IF(ISNUMBER('827d4ae889e4'!F42)+ISNUMBER(bfe5f797be39!F42)+ISNUMBER('15370cab949a'!F42),ISNUMBER('827d4ae889e4'!F42)+ISNUMBER(bfe5f797be39!F42)+ISNUMBER('15370cab949a'!F42),"")</f>
        <v/>
      </c>
      <c r="K29" s="17" t="str">
        <f>IF(ISNUMBER('827d4ae889e4'!G42)+ISNUMBER(bfe5f797be39!G42)+ISNUMBER('15370cab949a'!G42),ISNUMBER('827d4ae889e4'!G42)+ISNUMBER(bfe5f797be39!G42)+ISNUMBER('15370cab949a'!G42),"")</f>
        <v/>
      </c>
      <c r="L29" s="17" t="str">
        <f>IF(ISNUMBER('827d4ae889e4'!H42)+ISNUMBER(bfe5f797be39!H42)+ISNUMBER('15370cab949a'!H42),ISNUMBER('827d4ae889e4'!H42)+ISNUMBER(bfe5f797be39!H42)+ISNUMBER('15370cab949a'!H42),"")</f>
        <v/>
      </c>
      <c r="M29" s="18" t="str">
        <f>IF(ISNUMBER('827d4ae889e4'!I42)+ISNUMBER(bfe5f797be39!I42)+ISNUMBER('15370cab949a'!I42),ISNUMBER('827d4ae889e4'!I42)+ISNUMBER(bfe5f797be39!I42)+ISNUMBER('15370cab949a'!I42),"")</f>
        <v/>
      </c>
      <c r="N29" s="18" t="str">
        <f>IF(ISNUMBER('827d4ae889e4'!J42)+ISNUMBER(bfe5f797be39!J42)+ISNUMBER('15370cab949a'!J42),ISNUMBER('827d4ae889e4'!J42)+ISNUMBER(bfe5f797be39!J42)+ISNUMBER('15370cab949a'!J42),"")</f>
        <v/>
      </c>
      <c r="O29" s="17" t="str">
        <f>IF(ISNUMBER('827d4ae889e4'!K42)+ISNUMBER(bfe5f797be39!K42)+ISNUMBER('15370cab949a'!K42),ISNUMBER('827d4ae889e4'!K42)+ISNUMBER(bfe5f797be39!K42)+ISNUMBER('15370cab949a'!K42),"")</f>
        <v/>
      </c>
      <c r="P29" s="17" t="str">
        <f>IF(ISNUMBER('827d4ae889e4'!L42)+ISNUMBER(bfe5f797be39!L42)+ISNUMBER('15370cab949a'!L42),ISNUMBER('827d4ae889e4'!L42)+ISNUMBER(bfe5f797be39!L42)+ISNUMBER('15370cab949a'!L42),"")</f>
        <v/>
      </c>
      <c r="Q29" s="18" t="str">
        <f>IF(ISNUMBER('827d4ae889e4'!M42)+ISNUMBER(bfe5f797be39!M42)+ISNUMBER('15370cab949a'!M42),ISNUMBER('827d4ae889e4'!M42)+ISNUMBER(bfe5f797be39!M42)+ISNUMBER('15370cab949a'!M42),"")</f>
        <v/>
      </c>
      <c r="R29" s="18">
        <f>IF(ISNUMBER('827d4ae889e4'!N42)+ISNUMBER(bfe5f797be39!N42)+ISNUMBER('15370cab949a'!N42),ISNUMBER('827d4ae889e4'!N42)+ISNUMBER(bfe5f797be39!N42)+ISNUMBER('15370cab949a'!N42),"")</f>
        <v>2</v>
      </c>
    </row>
    <row r="30" spans="2:18" ht="15.75" customHeight="1">
      <c r="F30" s="16" t="str">
        <f>F14</f>
        <v>Culture and community ide…</v>
      </c>
      <c r="G30" s="17" t="str">
        <f>IF(ISNUMBER('827d4ae889e4'!C43)+ISNUMBER(bfe5f797be39!C43)+ISNUMBER('15370cab949a'!C43),ISNUMBER('827d4ae889e4'!C43)+ISNUMBER(bfe5f797be39!C43)+ISNUMBER('15370cab949a'!C43),"")</f>
        <v/>
      </c>
      <c r="H30" s="17" t="str">
        <f>IF(ISNUMBER('827d4ae889e4'!D43)+ISNUMBER(bfe5f797be39!D43)+ISNUMBER('15370cab949a'!D43),ISNUMBER('827d4ae889e4'!D43)+ISNUMBER(bfe5f797be39!D43)+ISNUMBER('15370cab949a'!D43),"")</f>
        <v/>
      </c>
      <c r="I30" s="18" t="str">
        <f>IF(ISNUMBER('827d4ae889e4'!E43)+ISNUMBER(bfe5f797be39!E43)+ISNUMBER('15370cab949a'!E43),ISNUMBER('827d4ae889e4'!E43)+ISNUMBER(bfe5f797be39!E43)+ISNUMBER('15370cab949a'!E43),"")</f>
        <v/>
      </c>
      <c r="J30" s="18" t="str">
        <f>IF(ISNUMBER('827d4ae889e4'!F43)+ISNUMBER(bfe5f797be39!F43)+ISNUMBER('15370cab949a'!F43),ISNUMBER('827d4ae889e4'!F43)+ISNUMBER(bfe5f797be39!F43)+ISNUMBER('15370cab949a'!F43),"")</f>
        <v/>
      </c>
      <c r="K30" s="17" t="str">
        <f>IF(ISNUMBER('827d4ae889e4'!G43)+ISNUMBER(bfe5f797be39!G43)+ISNUMBER('15370cab949a'!G43),ISNUMBER('827d4ae889e4'!G43)+ISNUMBER(bfe5f797be39!G43)+ISNUMBER('15370cab949a'!G43),"")</f>
        <v/>
      </c>
      <c r="L30" s="17" t="str">
        <f>IF(ISNUMBER('827d4ae889e4'!H43)+ISNUMBER(bfe5f797be39!H43)+ISNUMBER('15370cab949a'!H43),ISNUMBER('827d4ae889e4'!H43)+ISNUMBER(bfe5f797be39!H43)+ISNUMBER('15370cab949a'!H43),"")</f>
        <v/>
      </c>
      <c r="M30" s="18" t="str">
        <f>IF(ISNUMBER('827d4ae889e4'!I43)+ISNUMBER(bfe5f797be39!I43)+ISNUMBER('15370cab949a'!I43),ISNUMBER('827d4ae889e4'!I43)+ISNUMBER(bfe5f797be39!I43)+ISNUMBER('15370cab949a'!I43),"")</f>
        <v/>
      </c>
      <c r="N30" s="18" t="str">
        <f>IF(ISNUMBER('827d4ae889e4'!J43)+ISNUMBER(bfe5f797be39!J43)+ISNUMBER('15370cab949a'!J43),ISNUMBER('827d4ae889e4'!J43)+ISNUMBER(bfe5f797be39!J43)+ISNUMBER('15370cab949a'!J43),"")</f>
        <v/>
      </c>
      <c r="O30" s="17">
        <f>IF(ISNUMBER('827d4ae889e4'!K43)+ISNUMBER(bfe5f797be39!K43)+ISNUMBER('15370cab949a'!K43),ISNUMBER('827d4ae889e4'!K43)+ISNUMBER(bfe5f797be39!K43)+ISNUMBER('15370cab949a'!K43),"")</f>
        <v>2</v>
      </c>
      <c r="P30" s="17" t="str">
        <f>IF(ISNUMBER('827d4ae889e4'!L43)+ISNUMBER(bfe5f797be39!L43)+ISNUMBER('15370cab949a'!L43),ISNUMBER('827d4ae889e4'!L43)+ISNUMBER(bfe5f797be39!L43)+ISNUMBER('15370cab949a'!L43),"")</f>
        <v/>
      </c>
      <c r="Q30" s="18" t="str">
        <f>IF(ISNUMBER('827d4ae889e4'!M43)+ISNUMBER(bfe5f797be39!M43)+ISNUMBER('15370cab949a'!M43),ISNUMBER('827d4ae889e4'!M43)+ISNUMBER(bfe5f797be39!M43)+ISNUMBER('15370cab949a'!M43),"")</f>
        <v/>
      </c>
      <c r="R30" s="18" t="str">
        <f>IF(ISNUMBER('827d4ae889e4'!N43)+ISNUMBER(bfe5f797be39!N43)+ISNUMBER('15370cab949a'!N43),ISNUMBER('827d4ae889e4'!N43)+ISNUMBER(bfe5f797be39!N43)+ISNUMBER('15370cab949a'!N43),"")</f>
        <v/>
      </c>
    </row>
    <row r="31" spans="2:18" ht="15.75" customHeight="1">
      <c r="F31" s="16" t="str">
        <f>F15</f>
        <v>Living together, interdep…</v>
      </c>
      <c r="G31" s="17" t="str">
        <f>IF(ISNUMBER('827d4ae889e4'!C44)+ISNUMBER(bfe5f797be39!C44)+ISNUMBER('15370cab949a'!C44),ISNUMBER('827d4ae889e4'!C44)+ISNUMBER(bfe5f797be39!C44)+ISNUMBER('15370cab949a'!C44),"")</f>
        <v/>
      </c>
      <c r="H31" s="17" t="str">
        <f>IF(ISNUMBER('827d4ae889e4'!D44)+ISNUMBER(bfe5f797be39!D44)+ISNUMBER('15370cab949a'!D44),ISNUMBER('827d4ae889e4'!D44)+ISNUMBER(bfe5f797be39!D44)+ISNUMBER('15370cab949a'!D44),"")</f>
        <v/>
      </c>
      <c r="I31" s="18" t="str">
        <f>IF(ISNUMBER('827d4ae889e4'!E44)+ISNUMBER(bfe5f797be39!E44)+ISNUMBER('15370cab949a'!E44),ISNUMBER('827d4ae889e4'!E44)+ISNUMBER(bfe5f797be39!E44)+ISNUMBER('15370cab949a'!E44),"")</f>
        <v/>
      </c>
      <c r="J31" s="18" t="str">
        <f>IF(ISNUMBER('827d4ae889e4'!F44)+ISNUMBER(bfe5f797be39!F44)+ISNUMBER('15370cab949a'!F44),ISNUMBER('827d4ae889e4'!F44)+ISNUMBER(bfe5f797be39!F44)+ISNUMBER('15370cab949a'!F44),"")</f>
        <v/>
      </c>
      <c r="K31" s="17" t="str">
        <f>IF(ISNUMBER('827d4ae889e4'!G44)+ISNUMBER(bfe5f797be39!G44)+ISNUMBER('15370cab949a'!G44),ISNUMBER('827d4ae889e4'!G44)+ISNUMBER(bfe5f797be39!G44)+ISNUMBER('15370cab949a'!G44),"")</f>
        <v/>
      </c>
      <c r="L31" s="17" t="str">
        <f>IF(ISNUMBER('827d4ae889e4'!H44)+ISNUMBER(bfe5f797be39!H44)+ISNUMBER('15370cab949a'!H44),ISNUMBER('827d4ae889e4'!H44)+ISNUMBER(bfe5f797be39!H44)+ISNUMBER('15370cab949a'!H44),"")</f>
        <v/>
      </c>
      <c r="M31" s="18" t="str">
        <f>IF(ISNUMBER('827d4ae889e4'!I44)+ISNUMBER(bfe5f797be39!I44)+ISNUMBER('15370cab949a'!I44),ISNUMBER('827d4ae889e4'!I44)+ISNUMBER(bfe5f797be39!I44)+ISNUMBER('15370cab949a'!I44),"")</f>
        <v/>
      </c>
      <c r="N31" s="18" t="str">
        <f>IF(ISNUMBER('827d4ae889e4'!J44)+ISNUMBER(bfe5f797be39!J44)+ISNUMBER('15370cab949a'!J44),ISNUMBER('827d4ae889e4'!J44)+ISNUMBER(bfe5f797be39!J44)+ISNUMBER('15370cab949a'!J44),"")</f>
        <v/>
      </c>
      <c r="O31" s="17" t="str">
        <f>IF(ISNUMBER('827d4ae889e4'!K44)+ISNUMBER(bfe5f797be39!K44)+ISNUMBER('15370cab949a'!K44),ISNUMBER('827d4ae889e4'!K44)+ISNUMBER(bfe5f797be39!K44)+ISNUMBER('15370cab949a'!K44),"")</f>
        <v/>
      </c>
      <c r="P31" s="17" t="str">
        <f>IF(ISNUMBER('827d4ae889e4'!L44)+ISNUMBER(bfe5f797be39!L44)+ISNUMBER('15370cab949a'!L44),ISNUMBER('827d4ae889e4'!L44)+ISNUMBER(bfe5f797be39!L44)+ISNUMBER('15370cab949a'!L44),"")</f>
        <v/>
      </c>
      <c r="Q31" s="18" t="str">
        <f>IF(ISNUMBER('827d4ae889e4'!M44)+ISNUMBER(bfe5f797be39!M44)+ISNUMBER('15370cab949a'!M44),ISNUMBER('827d4ae889e4'!M44)+ISNUMBER(bfe5f797be39!M44)+ISNUMBER('15370cab949a'!M44),"")</f>
        <v/>
      </c>
      <c r="R31" s="18" t="str">
        <f>IF(ISNUMBER('827d4ae889e4'!N44)+ISNUMBER(bfe5f797be39!N44)+ISNUMBER('15370cab949a'!N44),ISNUMBER('827d4ae889e4'!N44)+ISNUMBER(bfe5f797be39!N44)+ISNUMBER('15370cab949a'!N44),"")</f>
        <v/>
      </c>
    </row>
    <row r="32" spans="2:18" ht="15.75" customHeight="1">
      <c r="F32" s="16" t="str">
        <f>F16</f>
        <v>Economy and sustainable p…</v>
      </c>
      <c r="G32" s="17" t="str">
        <f>IF(ISNUMBER('827d4ae889e4'!C45)+ISNUMBER(bfe5f797be39!C45)+ISNUMBER('15370cab949a'!C45),ISNUMBER('827d4ae889e4'!C45)+ISNUMBER(bfe5f797be39!C45)+ISNUMBER('15370cab949a'!C45),"")</f>
        <v/>
      </c>
      <c r="H32" s="17" t="str">
        <f>IF(ISNUMBER('827d4ae889e4'!D45)+ISNUMBER(bfe5f797be39!D45)+ISNUMBER('15370cab949a'!D45),ISNUMBER('827d4ae889e4'!D45)+ISNUMBER(bfe5f797be39!D45)+ISNUMBER('15370cab949a'!D45),"")</f>
        <v/>
      </c>
      <c r="I32" s="18" t="str">
        <f>IF(ISNUMBER('827d4ae889e4'!E45)+ISNUMBER(bfe5f797be39!E45)+ISNUMBER('15370cab949a'!E45),ISNUMBER('827d4ae889e4'!E45)+ISNUMBER(bfe5f797be39!E45)+ISNUMBER('15370cab949a'!E45),"")</f>
        <v/>
      </c>
      <c r="J32" s="18" t="str">
        <f>IF(ISNUMBER('827d4ae889e4'!F45)+ISNUMBER(bfe5f797be39!F45)+ISNUMBER('15370cab949a'!F45),ISNUMBER('827d4ae889e4'!F45)+ISNUMBER(bfe5f797be39!F45)+ISNUMBER('15370cab949a'!F45),"")</f>
        <v/>
      </c>
      <c r="K32" s="17" t="str">
        <f>IF(ISNUMBER('827d4ae889e4'!G45)+ISNUMBER(bfe5f797be39!G45)+ISNUMBER('15370cab949a'!G45),ISNUMBER('827d4ae889e4'!G45)+ISNUMBER(bfe5f797be39!G45)+ISNUMBER('15370cab949a'!G45),"")</f>
        <v/>
      </c>
      <c r="L32" s="17" t="str">
        <f>IF(ISNUMBER('827d4ae889e4'!H45)+ISNUMBER(bfe5f797be39!H45)+ISNUMBER('15370cab949a'!H45),ISNUMBER('827d4ae889e4'!H45)+ISNUMBER(bfe5f797be39!H45)+ISNUMBER('15370cab949a'!H45),"")</f>
        <v/>
      </c>
      <c r="M32" s="18" t="str">
        <f>IF(ISNUMBER('827d4ae889e4'!I45)+ISNUMBER(bfe5f797be39!I45)+ISNUMBER('15370cab949a'!I45),ISNUMBER('827d4ae889e4'!I45)+ISNUMBER(bfe5f797be39!I45)+ISNUMBER('15370cab949a'!I45),"")</f>
        <v/>
      </c>
      <c r="N32" s="18" t="str">
        <f>IF(ISNUMBER('827d4ae889e4'!J45)+ISNUMBER(bfe5f797be39!J45)+ISNUMBER('15370cab949a'!J45),ISNUMBER('827d4ae889e4'!J45)+ISNUMBER(bfe5f797be39!J45)+ISNUMBER('15370cab949a'!J45),"")</f>
        <v/>
      </c>
      <c r="O32" s="17" t="str">
        <f>IF(ISNUMBER('827d4ae889e4'!K45)+ISNUMBER(bfe5f797be39!K45)+ISNUMBER('15370cab949a'!K45),ISNUMBER('827d4ae889e4'!K45)+ISNUMBER(bfe5f797be39!K45)+ISNUMBER('15370cab949a'!K45),"")</f>
        <v/>
      </c>
      <c r="P32" s="17" t="str">
        <f>IF(ISNUMBER('827d4ae889e4'!L45)+ISNUMBER(bfe5f797be39!L45)+ISNUMBER('15370cab949a'!L45),ISNUMBER('827d4ae889e4'!L45)+ISNUMBER(bfe5f797be39!L45)+ISNUMBER('15370cab949a'!L45),"")</f>
        <v/>
      </c>
      <c r="Q32" s="18" t="str">
        <f>IF(ISNUMBER('827d4ae889e4'!M45)+ISNUMBER(bfe5f797be39!M45)+ISNUMBER('15370cab949a'!M45),ISNUMBER('827d4ae889e4'!M45)+ISNUMBER(bfe5f797be39!M45)+ISNUMBER('15370cab949a'!M45),"")</f>
        <v/>
      </c>
      <c r="R32" s="18" t="str">
        <f>IF(ISNUMBER('827d4ae889e4'!N45)+ISNUMBER(bfe5f797be39!N45)+ISNUMBER('15370cab949a'!N45),ISNUMBER('827d4ae889e4'!N45)+ISNUMBER(bfe5f797be39!N45)+ISNUMBER('15370cab949a'!N45),"")</f>
        <v/>
      </c>
    </row>
    <row r="33" spans="6:18" ht="15.75" customHeight="1">
      <c r="F33" s="16" t="str">
        <f>F17</f>
        <v>Living and working enviro…</v>
      </c>
      <c r="G33" s="17" t="str">
        <f>IF(ISNUMBER('827d4ae889e4'!C46)+ISNUMBER(bfe5f797be39!C46)+ISNUMBER('15370cab949a'!C46),ISNUMBER('827d4ae889e4'!C46)+ISNUMBER(bfe5f797be39!C46)+ISNUMBER('15370cab949a'!C46),"")</f>
        <v/>
      </c>
      <c r="H33" s="17" t="str">
        <f>IF(ISNUMBER('827d4ae889e4'!D46)+ISNUMBER(bfe5f797be39!D46)+ISNUMBER('15370cab949a'!D46),ISNUMBER('827d4ae889e4'!D46)+ISNUMBER(bfe5f797be39!D46)+ISNUMBER('15370cab949a'!D46),"")</f>
        <v/>
      </c>
      <c r="I33" s="18" t="str">
        <f>IF(ISNUMBER('827d4ae889e4'!E46)+ISNUMBER(bfe5f797be39!E46)+ISNUMBER('15370cab949a'!E46),ISNUMBER('827d4ae889e4'!E46)+ISNUMBER(bfe5f797be39!E46)+ISNUMBER('15370cab949a'!E46),"")</f>
        <v/>
      </c>
      <c r="J33" s="18" t="str">
        <f>IF(ISNUMBER('827d4ae889e4'!F46)+ISNUMBER(bfe5f797be39!F46)+ISNUMBER('15370cab949a'!F46),ISNUMBER('827d4ae889e4'!F46)+ISNUMBER(bfe5f797be39!F46)+ISNUMBER('15370cab949a'!F46),"")</f>
        <v/>
      </c>
      <c r="K33" s="17" t="str">
        <f>IF(ISNUMBER('827d4ae889e4'!G46)+ISNUMBER(bfe5f797be39!G46)+ISNUMBER('15370cab949a'!G46),ISNUMBER('827d4ae889e4'!G46)+ISNUMBER(bfe5f797be39!G46)+ISNUMBER('15370cab949a'!G46),"")</f>
        <v/>
      </c>
      <c r="L33" s="17" t="str">
        <f>IF(ISNUMBER('827d4ae889e4'!H46)+ISNUMBER(bfe5f797be39!H46)+ISNUMBER('15370cab949a'!H46),ISNUMBER('827d4ae889e4'!H46)+ISNUMBER(bfe5f797be39!H46)+ISNUMBER('15370cab949a'!H46),"")</f>
        <v/>
      </c>
      <c r="M33" s="18">
        <f>IF(ISNUMBER('827d4ae889e4'!I46)+ISNUMBER(bfe5f797be39!I46)+ISNUMBER('15370cab949a'!I46),ISNUMBER('827d4ae889e4'!I46)+ISNUMBER(bfe5f797be39!I46)+ISNUMBER('15370cab949a'!I46),"")</f>
        <v>1</v>
      </c>
      <c r="N33" s="18">
        <f>IF(ISNUMBER('827d4ae889e4'!J46)+ISNUMBER(bfe5f797be39!J46)+ISNUMBER('15370cab949a'!J46),ISNUMBER('827d4ae889e4'!J46)+ISNUMBER(bfe5f797be39!J46)+ISNUMBER('15370cab949a'!J46),"")</f>
        <v>2</v>
      </c>
      <c r="O33" s="17" t="str">
        <f>IF(ISNUMBER('827d4ae889e4'!K46)+ISNUMBER(bfe5f797be39!K46)+ISNUMBER('15370cab949a'!K46),ISNUMBER('827d4ae889e4'!K46)+ISNUMBER(bfe5f797be39!K46)+ISNUMBER('15370cab949a'!K46),"")</f>
        <v/>
      </c>
      <c r="P33" s="17" t="str">
        <f>IF(ISNUMBER('827d4ae889e4'!L46)+ISNUMBER(bfe5f797be39!L46)+ISNUMBER('15370cab949a'!L46),ISNUMBER('827d4ae889e4'!L46)+ISNUMBER(bfe5f797be39!L46)+ISNUMBER('15370cab949a'!L46),"")</f>
        <v/>
      </c>
      <c r="Q33" s="18">
        <f>IF(ISNUMBER('827d4ae889e4'!M46)+ISNUMBER(bfe5f797be39!M46)+ISNUMBER('15370cab949a'!M46),ISNUMBER('827d4ae889e4'!M46)+ISNUMBER(bfe5f797be39!M46)+ISNUMBER('15370cab949a'!M46),"")</f>
        <v>1</v>
      </c>
      <c r="R33" s="18" t="str">
        <f>IF(ISNUMBER('827d4ae889e4'!N46)+ISNUMBER(bfe5f797be39!N46)+ISNUMBER('15370cab949a'!N46),ISNUMBER('827d4ae889e4'!N46)+ISNUMBER(bfe5f797be39!N46)+ISNUMBER('15370cab949a'!N46),"")</f>
        <v/>
      </c>
    </row>
    <row r="34" spans="6:18" ht="15.75" customHeight="1">
      <c r="F34" s="16" t="str">
        <f>F18</f>
        <v>Safety and security…</v>
      </c>
      <c r="G34" s="17" t="str">
        <f>IF(ISNUMBER('827d4ae889e4'!C47)+ISNUMBER(bfe5f797be39!C47)+ISNUMBER('15370cab949a'!C47),ISNUMBER('827d4ae889e4'!C47)+ISNUMBER(bfe5f797be39!C47)+ISNUMBER('15370cab949a'!C47),"")</f>
        <v/>
      </c>
      <c r="H34" s="17" t="str">
        <f>IF(ISNUMBER('827d4ae889e4'!D47)+ISNUMBER(bfe5f797be39!D47)+ISNUMBER('15370cab949a'!D47),ISNUMBER('827d4ae889e4'!D47)+ISNUMBER(bfe5f797be39!D47)+ISNUMBER('15370cab949a'!D47),"")</f>
        <v/>
      </c>
      <c r="I34" s="18" t="str">
        <f>IF(ISNUMBER('827d4ae889e4'!E47)+ISNUMBER(bfe5f797be39!E47)+ISNUMBER('15370cab949a'!E47),ISNUMBER('827d4ae889e4'!E47)+ISNUMBER(bfe5f797be39!E47)+ISNUMBER('15370cab949a'!E47),"")</f>
        <v/>
      </c>
      <c r="J34" s="18" t="str">
        <f>IF(ISNUMBER('827d4ae889e4'!F47)+ISNUMBER(bfe5f797be39!F47)+ISNUMBER('15370cab949a'!F47),ISNUMBER('827d4ae889e4'!F47)+ISNUMBER(bfe5f797be39!F47)+ISNUMBER('15370cab949a'!F47),"")</f>
        <v/>
      </c>
      <c r="K34" s="17" t="str">
        <f>IF(ISNUMBER('827d4ae889e4'!G47)+ISNUMBER(bfe5f797be39!G47)+ISNUMBER('15370cab949a'!G47),ISNUMBER('827d4ae889e4'!G47)+ISNUMBER(bfe5f797be39!G47)+ISNUMBER('15370cab949a'!G47),"")</f>
        <v/>
      </c>
      <c r="L34" s="17" t="str">
        <f>IF(ISNUMBER('827d4ae889e4'!H47)+ISNUMBER(bfe5f797be39!H47)+ISNUMBER('15370cab949a'!H47),ISNUMBER('827d4ae889e4'!H47)+ISNUMBER(bfe5f797be39!H47)+ISNUMBER('15370cab949a'!H47),"")</f>
        <v/>
      </c>
      <c r="M34" s="18" t="str">
        <f>IF(ISNUMBER('827d4ae889e4'!I47)+ISNUMBER(bfe5f797be39!I47)+ISNUMBER('15370cab949a'!I47),ISNUMBER('827d4ae889e4'!I47)+ISNUMBER(bfe5f797be39!I47)+ISNUMBER('15370cab949a'!I47),"")</f>
        <v/>
      </c>
      <c r="N34" s="18" t="str">
        <f>IF(ISNUMBER('827d4ae889e4'!J47)+ISNUMBER(bfe5f797be39!J47)+ISNUMBER('15370cab949a'!J47),ISNUMBER('827d4ae889e4'!J47)+ISNUMBER(bfe5f797be39!J47)+ISNUMBER('15370cab949a'!J47),"")</f>
        <v/>
      </c>
      <c r="O34" s="17" t="str">
        <f>IF(ISNUMBER('827d4ae889e4'!K47)+ISNUMBER(bfe5f797be39!K47)+ISNUMBER('15370cab949a'!K47),ISNUMBER('827d4ae889e4'!K47)+ISNUMBER(bfe5f797be39!K47)+ISNUMBER('15370cab949a'!K47),"")</f>
        <v/>
      </c>
      <c r="P34" s="17" t="str">
        <f>IF(ISNUMBER('827d4ae889e4'!L47)+ISNUMBER(bfe5f797be39!L47)+ISNUMBER('15370cab949a'!L47),ISNUMBER('827d4ae889e4'!L47)+ISNUMBER(bfe5f797be39!L47)+ISNUMBER('15370cab949a'!L47),"")</f>
        <v/>
      </c>
      <c r="Q34" s="18" t="str">
        <f>IF(ISNUMBER('827d4ae889e4'!M47)+ISNUMBER(bfe5f797be39!M47)+ISNUMBER('15370cab949a'!M47),ISNUMBER('827d4ae889e4'!M47)+ISNUMBER(bfe5f797be39!M47)+ISNUMBER('15370cab949a'!M47),"")</f>
        <v/>
      </c>
      <c r="R34" s="18" t="str">
        <f>IF(ISNUMBER('827d4ae889e4'!N47)+ISNUMBER(bfe5f797be39!N47)+ISNUMBER('15370cab949a'!N47),ISNUMBER('827d4ae889e4'!N47)+ISNUMBER(bfe5f797be39!N47)+ISNUMBER('15370cab949a'!N47),"")</f>
        <v/>
      </c>
    </row>
    <row r="35" spans="6:18" ht="15.75" customHeight="1">
      <c r="F35" s="16" t="str">
        <f>F19</f>
        <v>Biodiversity and ecosyste…</v>
      </c>
      <c r="G35" s="17" t="str">
        <f>IF(ISNUMBER('827d4ae889e4'!C48)+ISNUMBER(bfe5f797be39!C48)+ISNUMBER('15370cab949a'!C48),ISNUMBER('827d4ae889e4'!C48)+ISNUMBER(bfe5f797be39!C48)+ISNUMBER('15370cab949a'!C48),"")</f>
        <v/>
      </c>
      <c r="H35" s="17" t="str">
        <f>IF(ISNUMBER('827d4ae889e4'!D48)+ISNUMBER(bfe5f797be39!D48)+ISNUMBER('15370cab949a'!D48),ISNUMBER('827d4ae889e4'!D48)+ISNUMBER(bfe5f797be39!D48)+ISNUMBER('15370cab949a'!D48),"")</f>
        <v/>
      </c>
      <c r="I35" s="18">
        <f>IF(ISNUMBER('827d4ae889e4'!E48)+ISNUMBER(bfe5f797be39!E48)+ISNUMBER('15370cab949a'!E48),ISNUMBER('827d4ae889e4'!E48)+ISNUMBER(bfe5f797be39!E48)+ISNUMBER('15370cab949a'!E48),"")</f>
        <v>1</v>
      </c>
      <c r="J35" s="18" t="str">
        <f>IF(ISNUMBER('827d4ae889e4'!F48)+ISNUMBER(bfe5f797be39!F48)+ISNUMBER('15370cab949a'!F48),ISNUMBER('827d4ae889e4'!F48)+ISNUMBER(bfe5f797be39!F48)+ISNUMBER('15370cab949a'!F48),"")</f>
        <v/>
      </c>
      <c r="K35" s="17" t="str">
        <f>IF(ISNUMBER('827d4ae889e4'!G48)+ISNUMBER(bfe5f797be39!G48)+ISNUMBER('15370cab949a'!G48),ISNUMBER('827d4ae889e4'!G48)+ISNUMBER(bfe5f797be39!G48)+ISNUMBER('15370cab949a'!G48),"")</f>
        <v/>
      </c>
      <c r="L35" s="17">
        <f>IF(ISNUMBER('827d4ae889e4'!H48)+ISNUMBER(bfe5f797be39!H48)+ISNUMBER('15370cab949a'!H48),ISNUMBER('827d4ae889e4'!H48)+ISNUMBER(bfe5f797be39!H48)+ISNUMBER('15370cab949a'!H48),"")</f>
        <v>2</v>
      </c>
      <c r="M35" s="18">
        <f>IF(ISNUMBER('827d4ae889e4'!I48)+ISNUMBER(bfe5f797be39!I48)+ISNUMBER('15370cab949a'!I48),ISNUMBER('827d4ae889e4'!I48)+ISNUMBER(bfe5f797be39!I48)+ISNUMBER('15370cab949a'!I48),"")</f>
        <v>1</v>
      </c>
      <c r="N35" s="18" t="str">
        <f>IF(ISNUMBER('827d4ae889e4'!J48)+ISNUMBER(bfe5f797be39!J48)+ISNUMBER('15370cab949a'!J48),ISNUMBER('827d4ae889e4'!J48)+ISNUMBER(bfe5f797be39!J48)+ISNUMBER('15370cab949a'!J48),"")</f>
        <v/>
      </c>
      <c r="O35" s="17" t="str">
        <f>IF(ISNUMBER('827d4ae889e4'!K48)+ISNUMBER(bfe5f797be39!K48)+ISNUMBER('15370cab949a'!K48),ISNUMBER('827d4ae889e4'!K48)+ISNUMBER(bfe5f797be39!K48)+ISNUMBER('15370cab949a'!K48),"")</f>
        <v/>
      </c>
      <c r="P35" s="17" t="str">
        <f>IF(ISNUMBER('827d4ae889e4'!L48)+ISNUMBER(bfe5f797be39!L48)+ISNUMBER('15370cab949a'!L48),ISNUMBER('827d4ae889e4'!L48)+ISNUMBER(bfe5f797be39!L48)+ISNUMBER('15370cab949a'!L48),"")</f>
        <v/>
      </c>
      <c r="Q35" s="18" t="str">
        <f>IF(ISNUMBER('827d4ae889e4'!M48)+ISNUMBER(bfe5f797be39!M48)+ISNUMBER('15370cab949a'!M48),ISNUMBER('827d4ae889e4'!M48)+ISNUMBER(bfe5f797be39!M48)+ISNUMBER('15370cab949a'!M48),"")</f>
        <v/>
      </c>
      <c r="R35" s="18" t="str">
        <f>IF(ISNUMBER('827d4ae889e4'!N48)+ISNUMBER(bfe5f797be39!N48)+ISNUMBER('15370cab949a'!N48),ISNUMBER('827d4ae889e4'!N48)+ISNUMBER(bfe5f797be39!N48)+ISNUMBER('15370cab949a'!N48),"")</f>
        <v/>
      </c>
    </row>
    <row r="36" spans="6:18" ht="15.75" customHeight="1">
      <c r="F36" s="16" t="str">
        <f>F20</f>
        <v>Community smart infrastru…</v>
      </c>
      <c r="G36" s="17" t="str">
        <f>IF(ISNUMBER('827d4ae889e4'!C49)+ISNUMBER(bfe5f797be39!C49)+ISNUMBER('15370cab949a'!C49),ISNUMBER('827d4ae889e4'!C49)+ISNUMBER(bfe5f797be39!C49)+ISNUMBER('15370cab949a'!C49),"")</f>
        <v/>
      </c>
      <c r="H36" s="17" t="str">
        <f>IF(ISNUMBER('827d4ae889e4'!D49)+ISNUMBER(bfe5f797be39!D49)+ISNUMBER('15370cab949a'!D49),ISNUMBER('827d4ae889e4'!D49)+ISNUMBER(bfe5f797be39!D49)+ISNUMBER('15370cab949a'!D49),"")</f>
        <v/>
      </c>
      <c r="I36" s="18" t="str">
        <f>IF(ISNUMBER('827d4ae889e4'!E49)+ISNUMBER(bfe5f797be39!E49)+ISNUMBER('15370cab949a'!E49),ISNUMBER('827d4ae889e4'!E49)+ISNUMBER(bfe5f797be39!E49)+ISNUMBER('15370cab949a'!E49),"")</f>
        <v/>
      </c>
      <c r="J36" s="18" t="str">
        <f>IF(ISNUMBER('827d4ae889e4'!F49)+ISNUMBER(bfe5f797be39!F49)+ISNUMBER('15370cab949a'!F49),ISNUMBER('827d4ae889e4'!F49)+ISNUMBER(bfe5f797be39!F49)+ISNUMBER('15370cab949a'!F49),"")</f>
        <v/>
      </c>
      <c r="K36" s="17" t="str">
        <f>IF(ISNUMBER('827d4ae889e4'!G49)+ISNUMBER(bfe5f797be39!G49)+ISNUMBER('15370cab949a'!G49),ISNUMBER('827d4ae889e4'!G49)+ISNUMBER(bfe5f797be39!G49)+ISNUMBER('15370cab949a'!G49),"")</f>
        <v/>
      </c>
      <c r="L36" s="17">
        <f>IF(ISNUMBER('827d4ae889e4'!H49)+ISNUMBER(bfe5f797be39!H49)+ISNUMBER('15370cab949a'!H49),ISNUMBER('827d4ae889e4'!H49)+ISNUMBER(bfe5f797be39!H49)+ISNUMBER('15370cab949a'!H49),"")</f>
        <v>1</v>
      </c>
      <c r="M36" s="18" t="str">
        <f>IF(ISNUMBER('827d4ae889e4'!I49)+ISNUMBER(bfe5f797be39!I49)+ISNUMBER('15370cab949a'!I49),ISNUMBER('827d4ae889e4'!I49)+ISNUMBER(bfe5f797be39!I49)+ISNUMBER('15370cab949a'!I49),"")</f>
        <v/>
      </c>
      <c r="N36" s="18" t="str">
        <f>IF(ISNUMBER('827d4ae889e4'!J49)+ISNUMBER(bfe5f797be39!J49)+ISNUMBER('15370cab949a'!J49),ISNUMBER('827d4ae889e4'!J49)+ISNUMBER(bfe5f797be39!J49)+ISNUMBER('15370cab949a'!J49),"")</f>
        <v/>
      </c>
      <c r="O36" s="17" t="str">
        <f>IF(ISNUMBER('827d4ae889e4'!K49)+ISNUMBER(bfe5f797be39!K49)+ISNUMBER('15370cab949a'!K49),ISNUMBER('827d4ae889e4'!K49)+ISNUMBER(bfe5f797be39!K49)+ISNUMBER('15370cab949a'!K49),"")</f>
        <v/>
      </c>
      <c r="P36" s="17" t="str">
        <f>IF(ISNUMBER('827d4ae889e4'!L49)+ISNUMBER(bfe5f797be39!L49)+ISNUMBER('15370cab949a'!L49),ISNUMBER('827d4ae889e4'!L49)+ISNUMBER(bfe5f797be39!L49)+ISNUMBER('15370cab949a'!L49),"")</f>
        <v/>
      </c>
      <c r="Q36" s="18" t="str">
        <f>IF(ISNUMBER('827d4ae889e4'!M49)+ISNUMBER(bfe5f797be39!M49)+ISNUMBER('15370cab949a'!M49),ISNUMBER('827d4ae889e4'!M49)+ISNUMBER(bfe5f797be39!M49)+ISNUMBER('15370cab949a'!M49),"")</f>
        <v/>
      </c>
      <c r="R36" s="18" t="str">
        <f>IF(ISNUMBER('827d4ae889e4'!N49)+ISNUMBER(bfe5f797be39!N49)+ISNUMBER('15370cab949a'!N49),ISNUMBER('827d4ae889e4'!N49)+ISNUMBER(bfe5f797be39!N49)+ISNUMBER('15370cab949a'!N49),"")</f>
        <v/>
      </c>
    </row>
    <row r="37" spans="6:18" ht="15.75" customHeight="1">
      <c r="F37" s="16" t="str">
        <f>F21</f>
        <v>Mobility…</v>
      </c>
      <c r="G37" s="17" t="str">
        <f>IF(ISNUMBER('827d4ae889e4'!C50)+ISNUMBER(bfe5f797be39!C50)+ISNUMBER('15370cab949a'!C50),ISNUMBER('827d4ae889e4'!C50)+ISNUMBER(bfe5f797be39!C50)+ISNUMBER('15370cab949a'!C50),"")</f>
        <v/>
      </c>
      <c r="H37" s="17" t="str">
        <f>IF(ISNUMBER('827d4ae889e4'!D50)+ISNUMBER(bfe5f797be39!D50)+ISNUMBER('15370cab949a'!D50),ISNUMBER('827d4ae889e4'!D50)+ISNUMBER(bfe5f797be39!D50)+ISNUMBER('15370cab949a'!D50),"")</f>
        <v/>
      </c>
      <c r="I37" s="18" t="str">
        <f>IF(ISNUMBER('827d4ae889e4'!E50)+ISNUMBER(bfe5f797be39!E50)+ISNUMBER('15370cab949a'!E50),ISNUMBER('827d4ae889e4'!E50)+ISNUMBER(bfe5f797be39!E50)+ISNUMBER('15370cab949a'!E50),"")</f>
        <v/>
      </c>
      <c r="J37" s="18" t="str">
        <f>IF(ISNUMBER('827d4ae889e4'!F50)+ISNUMBER(bfe5f797be39!F50)+ISNUMBER('15370cab949a'!F50),ISNUMBER('827d4ae889e4'!F50)+ISNUMBER(bfe5f797be39!F50)+ISNUMBER('15370cab949a'!F50),"")</f>
        <v/>
      </c>
      <c r="K37" s="17" t="str">
        <f>IF(ISNUMBER('827d4ae889e4'!G50)+ISNUMBER(bfe5f797be39!G50)+ISNUMBER('15370cab949a'!G50),ISNUMBER('827d4ae889e4'!G50)+ISNUMBER(bfe5f797be39!G50)+ISNUMBER('15370cab949a'!G50),"")</f>
        <v/>
      </c>
      <c r="L37" s="17" t="str">
        <f>IF(ISNUMBER('827d4ae889e4'!H50)+ISNUMBER(bfe5f797be39!H50)+ISNUMBER('15370cab949a'!H50),ISNUMBER('827d4ae889e4'!H50)+ISNUMBER(bfe5f797be39!H50)+ISNUMBER('15370cab949a'!H50),"")</f>
        <v/>
      </c>
      <c r="M37" s="18" t="str">
        <f>IF(ISNUMBER('827d4ae889e4'!I50)+ISNUMBER(bfe5f797be39!I50)+ISNUMBER('15370cab949a'!I50),ISNUMBER('827d4ae889e4'!I50)+ISNUMBER(bfe5f797be39!I50)+ISNUMBER('15370cab949a'!I50),"")</f>
        <v/>
      </c>
      <c r="N37" s="18" t="str">
        <f>IF(ISNUMBER('827d4ae889e4'!J50)+ISNUMBER(bfe5f797be39!J50)+ISNUMBER('15370cab949a'!J50),ISNUMBER('827d4ae889e4'!J50)+ISNUMBER(bfe5f797be39!J50)+ISNUMBER('15370cab949a'!J50),"")</f>
        <v/>
      </c>
      <c r="O37" s="17" t="str">
        <f>IF(ISNUMBER('827d4ae889e4'!K50)+ISNUMBER(bfe5f797be39!K50)+ISNUMBER('15370cab949a'!K50),ISNUMBER('827d4ae889e4'!K50)+ISNUMBER(bfe5f797be39!K50)+ISNUMBER('15370cab949a'!K50),"")</f>
        <v/>
      </c>
      <c r="P37" s="17" t="str">
        <f>IF(ISNUMBER('827d4ae889e4'!L50)+ISNUMBER(bfe5f797be39!L50)+ISNUMBER('15370cab949a'!L50),ISNUMBER('827d4ae889e4'!L50)+ISNUMBER(bfe5f797be39!L50)+ISNUMBER('15370cab949a'!L50),"")</f>
        <v/>
      </c>
      <c r="Q37" s="18" t="str">
        <f>IF(ISNUMBER('827d4ae889e4'!M50)+ISNUMBER(bfe5f797be39!M50)+ISNUMBER('15370cab949a'!M50),ISNUMBER('827d4ae889e4'!M50)+ISNUMBER(bfe5f797be39!M50)+ISNUMBER('15370cab949a'!M50),"")</f>
        <v/>
      </c>
      <c r="R37" s="18" t="str">
        <f>IF(ISNUMBER('827d4ae889e4'!N50)+ISNUMBER(bfe5f797be39!N50)+ISNUMBER('15370cab949a'!N50),ISNUMBER('827d4ae889e4'!N50)+ISNUMBER(bfe5f797be39!N50)+ISNUMBER('15370cab949a'!N50),"")</f>
        <v/>
      </c>
    </row>
  </sheetData>
  <mergeCells count="20">
    <mergeCell ref="I8:J8"/>
    <mergeCell ref="M8:N8"/>
    <mergeCell ref="O8:P8"/>
    <mergeCell ref="M24:N24"/>
    <mergeCell ref="B2:C2"/>
    <mergeCell ref="F8:F9"/>
    <mergeCell ref="B20:B22"/>
    <mergeCell ref="B16:B18"/>
    <mergeCell ref="G24:H24"/>
    <mergeCell ref="B12:B14"/>
    <mergeCell ref="F2:R2"/>
    <mergeCell ref="F24:F25"/>
    <mergeCell ref="K24:L24"/>
    <mergeCell ref="O24:P24"/>
    <mergeCell ref="Q24:R24"/>
    <mergeCell ref="G6:R6"/>
    <mergeCell ref="G8:H8"/>
    <mergeCell ref="Q8:R8"/>
    <mergeCell ref="K8:L8"/>
    <mergeCell ref="I24:J24"/>
  </mergeCells>
  <printOptions horizontalCentered="1" verticalCentered="1"/>
  <pageMargins left="0.25" right="0.25" top="0.75" bottom="0.75"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8CBAD"/>
  </sheetPr>
  <dimension ref="B1:C17"/>
  <sheetViews>
    <sheetView topLeftCell="A6" zoomScaleNormal="100" workbookViewId="0">
      <selection activeCell="M15" sqref="M15"/>
    </sheetView>
  </sheetViews>
  <sheetFormatPr defaultColWidth="8.7109375" defaultRowHeight="15"/>
  <cols>
    <col min="1" max="1" width="1.85546875" customWidth="1"/>
    <col min="2" max="2" width="11" customWidth="1"/>
    <col min="3" max="3" width="41.5703125" style="23" customWidth="1"/>
  </cols>
  <sheetData>
    <row r="1" spans="2:3" ht="15.75" customHeight="1">
      <c r="C1" s="24" t="s">
        <v>34</v>
      </c>
    </row>
    <row r="2" spans="2:3" ht="9.75" customHeight="1"/>
    <row r="3" spans="2:3" ht="15" customHeight="1">
      <c r="B3" s="25" t="s">
        <v>35</v>
      </c>
      <c r="C3" s="26" t="s">
        <v>36</v>
      </c>
    </row>
    <row r="4" spans="2:3" ht="30" customHeight="1">
      <c r="B4" s="27" t="s">
        <v>37</v>
      </c>
      <c r="C4" s="28" t="s">
        <v>38</v>
      </c>
    </row>
    <row r="5" spans="2:3" ht="15" customHeight="1">
      <c r="B5" s="29" t="s">
        <v>39</v>
      </c>
      <c r="C5" s="30" t="s">
        <v>40</v>
      </c>
    </row>
    <row r="6" spans="2:3" ht="30" customHeight="1">
      <c r="B6" s="63" t="s">
        <v>41</v>
      </c>
      <c r="C6" s="30" t="s">
        <v>42</v>
      </c>
    </row>
    <row r="7" spans="2:3" ht="45" customHeight="1">
      <c r="B7" s="86"/>
      <c r="C7" s="31" t="s">
        <v>43</v>
      </c>
    </row>
    <row r="8" spans="2:3" ht="15" customHeight="1">
      <c r="B8" s="29" t="s">
        <v>44</v>
      </c>
      <c r="C8" s="30" t="s">
        <v>45</v>
      </c>
    </row>
    <row r="9" spans="2:3" ht="30" customHeight="1">
      <c r="B9" s="29" t="s">
        <v>46</v>
      </c>
      <c r="C9" s="30" t="s">
        <v>47</v>
      </c>
    </row>
    <row r="10" spans="2:3" ht="15" customHeight="1">
      <c r="B10" s="32" t="s">
        <v>48</v>
      </c>
      <c r="C10" s="33" t="s">
        <v>49</v>
      </c>
    </row>
    <row r="11" spans="2:3" ht="9.75" customHeight="1"/>
    <row r="12" spans="2:3" ht="15" customHeight="1">
      <c r="B12" s="5" t="s">
        <v>50</v>
      </c>
      <c r="C12" s="34" t="s">
        <v>2</v>
      </c>
    </row>
    <row r="13" spans="2:3" ht="15" customHeight="1">
      <c r="B13" s="27" t="s">
        <v>51</v>
      </c>
      <c r="C13" s="35" t="s">
        <v>52</v>
      </c>
    </row>
    <row r="14" spans="2:3" ht="15" customHeight="1">
      <c r="B14" s="29" t="s">
        <v>53</v>
      </c>
      <c r="C14" s="36" t="s">
        <v>54</v>
      </c>
    </row>
    <row r="15" spans="2:3" ht="15" customHeight="1">
      <c r="B15" s="29" t="s">
        <v>55</v>
      </c>
      <c r="C15" s="36" t="s">
        <v>56</v>
      </c>
    </row>
    <row r="16" spans="2:3" ht="15" customHeight="1">
      <c r="B16" s="32" t="s">
        <v>57</v>
      </c>
      <c r="C16" s="37" t="s">
        <v>58</v>
      </c>
    </row>
    <row r="17" ht="9.75" customHeight="1"/>
  </sheetData>
  <mergeCells count="1">
    <mergeCell ref="B6:B7"/>
  </mergeCell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C7E7"/>
    <pageSetUpPr fitToPage="1"/>
  </sheetPr>
  <dimension ref="A1:AMJ23"/>
  <sheetViews>
    <sheetView showGridLines="0" zoomScaleNormal="100" workbookViewId="0">
      <selection activeCell="C8" sqref="C8"/>
    </sheetView>
  </sheetViews>
  <sheetFormatPr defaultColWidth="8.85546875" defaultRowHeight="15" zeroHeight="1"/>
  <cols>
    <col min="1" max="1" width="2.5703125" customWidth="1"/>
    <col min="2" max="2" width="29.28515625" customWidth="1"/>
    <col min="3" max="3" width="121.5703125" customWidth="1"/>
    <col min="4" max="4" width="44" hidden="1" customWidth="1"/>
    <col min="5" max="1024" width="8.85546875" hidden="1" customWidth="1"/>
  </cols>
  <sheetData>
    <row r="1" spans="1:3" ht="18.75" customHeight="1">
      <c r="A1" s="64" t="s">
        <v>59</v>
      </c>
      <c r="B1" s="81"/>
      <c r="C1" s="81"/>
    </row>
    <row r="2" spans="1:3" ht="15" customHeight="1">
      <c r="B2" s="45" t="s">
        <v>60</v>
      </c>
    </row>
    <row r="3" spans="1:3" ht="15" customHeight="1">
      <c r="A3" s="46" t="s">
        <v>61</v>
      </c>
      <c r="B3" s="47"/>
      <c r="C3" s="47"/>
    </row>
    <row r="4" spans="1:3" ht="36" customHeight="1">
      <c r="A4" s="47"/>
      <c r="B4" s="48" t="s">
        <v>9</v>
      </c>
      <c r="C4" s="49" t="s">
        <v>62</v>
      </c>
    </row>
    <row r="5" spans="1:3" ht="36" customHeight="1">
      <c r="A5" s="47"/>
      <c r="B5" s="48" t="s">
        <v>63</v>
      </c>
      <c r="C5" s="49" t="s">
        <v>64</v>
      </c>
    </row>
    <row r="6" spans="1:3" ht="36" customHeight="1">
      <c r="A6" s="47"/>
      <c r="B6" s="48" t="s">
        <v>11</v>
      </c>
      <c r="C6" s="49" t="s">
        <v>65</v>
      </c>
    </row>
    <row r="7" spans="1:3" ht="36" customHeight="1">
      <c r="A7" s="47"/>
      <c r="B7" s="48" t="s">
        <v>66</v>
      </c>
      <c r="C7" s="49" t="s">
        <v>67</v>
      </c>
    </row>
    <row r="8" spans="1:3" ht="49.5" customHeight="1">
      <c r="A8" s="47"/>
      <c r="B8" s="48" t="s">
        <v>68</v>
      </c>
      <c r="C8" s="49" t="s">
        <v>69</v>
      </c>
    </row>
    <row r="9" spans="1:3" ht="24" customHeight="1">
      <c r="A9" s="47"/>
      <c r="B9" s="48" t="s">
        <v>70</v>
      </c>
      <c r="C9" s="49" t="s">
        <v>71</v>
      </c>
    </row>
    <row r="10" spans="1:3" ht="15" customHeight="1">
      <c r="B10" s="50"/>
    </row>
    <row r="11" spans="1:3" ht="15" customHeight="1">
      <c r="A11" s="51" t="s">
        <v>72</v>
      </c>
      <c r="B11" s="52"/>
      <c r="C11" s="53"/>
    </row>
    <row r="12" spans="1:3" ht="24" customHeight="1">
      <c r="A12" s="53"/>
      <c r="B12" s="48" t="s">
        <v>73</v>
      </c>
      <c r="C12" s="49" t="s">
        <v>74</v>
      </c>
    </row>
    <row r="13" spans="1:3" ht="15" customHeight="1">
      <c r="A13" s="53"/>
      <c r="B13" s="48" t="s">
        <v>75</v>
      </c>
      <c r="C13" s="49" t="s">
        <v>76</v>
      </c>
    </row>
    <row r="14" spans="1:3" ht="36" customHeight="1">
      <c r="A14" s="53"/>
      <c r="B14" s="48" t="s">
        <v>77</v>
      </c>
      <c r="C14" s="49" t="s">
        <v>78</v>
      </c>
    </row>
    <row r="15" spans="1:3" ht="36" customHeight="1">
      <c r="A15" s="53"/>
      <c r="B15" s="48" t="s">
        <v>79</v>
      </c>
      <c r="C15" s="49" t="s">
        <v>80</v>
      </c>
    </row>
    <row r="16" spans="1:3" ht="24" customHeight="1">
      <c r="A16" s="53"/>
      <c r="B16" s="48" t="s">
        <v>81</v>
      </c>
      <c r="C16" s="49" t="s">
        <v>82</v>
      </c>
    </row>
    <row r="17" spans="1:3" ht="24" customHeight="1">
      <c r="A17" s="53"/>
      <c r="B17" s="48" t="s">
        <v>83</v>
      </c>
      <c r="C17" s="49" t="s">
        <v>84</v>
      </c>
    </row>
    <row r="18" spans="1:3" ht="24" customHeight="1">
      <c r="A18" s="53"/>
      <c r="B18" s="48" t="s">
        <v>85</v>
      </c>
      <c r="C18" s="49" t="s">
        <v>86</v>
      </c>
    </row>
    <row r="19" spans="1:3" ht="24" customHeight="1">
      <c r="A19" s="53"/>
      <c r="B19" s="48" t="s">
        <v>87</v>
      </c>
      <c r="C19" s="49" t="s">
        <v>88</v>
      </c>
    </row>
    <row r="20" spans="1:3" ht="24" customHeight="1">
      <c r="A20" s="53"/>
      <c r="B20" s="48" t="s">
        <v>89</v>
      </c>
      <c r="C20" s="49" t="s">
        <v>90</v>
      </c>
    </row>
    <row r="21" spans="1:3" ht="36" customHeight="1">
      <c r="A21" s="53"/>
      <c r="B21" s="48" t="s">
        <v>91</v>
      </c>
      <c r="C21" s="49" t="s">
        <v>92</v>
      </c>
    </row>
    <row r="22" spans="1:3" ht="24" customHeight="1">
      <c r="A22" s="53"/>
      <c r="B22" s="48" t="s">
        <v>93</v>
      </c>
      <c r="C22" s="49" t="s">
        <v>94</v>
      </c>
    </row>
    <row r="23" spans="1:3" ht="36" customHeight="1">
      <c r="A23" s="53"/>
      <c r="B23" s="48" t="s">
        <v>95</v>
      </c>
      <c r="C23" s="49" t="s">
        <v>96</v>
      </c>
    </row>
  </sheetData>
  <mergeCells count="1">
    <mergeCell ref="A1:C1"/>
  </mergeCells>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97</v>
      </c>
      <c r="C2" s="81"/>
      <c r="D2" s="81"/>
      <c r="E2" s="81"/>
      <c r="F2" s="81"/>
      <c r="G2" s="81"/>
      <c r="H2" s="81"/>
      <c r="I2" s="81"/>
      <c r="J2" s="81"/>
      <c r="K2" s="81"/>
      <c r="L2" s="81"/>
      <c r="M2" s="81"/>
      <c r="N2" s="81"/>
    </row>
    <row r="3" spans="2:14" ht="3" customHeight="1"/>
    <row r="4" spans="2:14" ht="15" customHeight="1">
      <c r="B4" s="38" t="s">
        <v>98</v>
      </c>
      <c r="C4" s="88" t="s">
        <v>99</v>
      </c>
      <c r="D4" s="89"/>
      <c r="E4" s="89"/>
      <c r="F4" s="89"/>
      <c r="G4" s="89"/>
      <c r="H4" s="89"/>
      <c r="I4" s="89"/>
      <c r="J4" s="89"/>
      <c r="K4" s="89"/>
      <c r="L4" s="89"/>
      <c r="M4" s="89"/>
      <c r="N4" s="90"/>
    </row>
    <row r="5" spans="2:14" ht="15" customHeight="1">
      <c r="B5" s="38" t="s">
        <v>100</v>
      </c>
      <c r="C5" s="67" t="s">
        <v>21</v>
      </c>
      <c r="D5" s="82"/>
      <c r="E5" s="82"/>
      <c r="F5" s="82"/>
      <c r="G5" s="82"/>
      <c r="H5" s="82"/>
      <c r="I5" s="83"/>
      <c r="J5" s="74" t="s">
        <v>101</v>
      </c>
      <c r="K5" s="82"/>
      <c r="L5" s="80" t="s">
        <v>20</v>
      </c>
      <c r="M5" s="82"/>
      <c r="N5" s="83"/>
    </row>
    <row r="6" spans="2:14" ht="15" customHeight="1">
      <c r="B6" s="38" t="s">
        <v>102</v>
      </c>
      <c r="C6" s="67" t="s">
        <v>103</v>
      </c>
      <c r="D6" s="82"/>
      <c r="E6" s="82"/>
      <c r="F6" s="82"/>
      <c r="G6" s="82"/>
      <c r="H6" s="82"/>
      <c r="I6" s="83"/>
      <c r="J6" s="74" t="s">
        <v>104</v>
      </c>
      <c r="K6" s="82"/>
      <c r="L6" s="67" t="s">
        <v>7</v>
      </c>
      <c r="M6" s="82"/>
      <c r="N6" s="83"/>
    </row>
    <row r="7" spans="2:14" ht="13.5" customHeight="1">
      <c r="B7" s="39" t="s">
        <v>105</v>
      </c>
      <c r="C7" s="67"/>
      <c r="D7" s="82"/>
      <c r="E7" s="82"/>
      <c r="F7" s="82"/>
      <c r="G7" s="82"/>
      <c r="H7" s="82"/>
      <c r="I7" s="83"/>
      <c r="J7" s="71" t="s">
        <v>106</v>
      </c>
      <c r="K7" s="83"/>
      <c r="L7" s="67"/>
      <c r="M7" s="82"/>
      <c r="N7" s="83"/>
    </row>
    <row r="8" spans="2:14" ht="300.75" customHeight="1">
      <c r="B8" s="38" t="s">
        <v>15</v>
      </c>
      <c r="C8" s="76" t="s">
        <v>107</v>
      </c>
      <c r="D8" s="89"/>
      <c r="E8" s="89"/>
      <c r="F8" s="89"/>
      <c r="G8" s="89"/>
      <c r="H8" s="89"/>
      <c r="I8" s="89"/>
      <c r="J8" s="89"/>
      <c r="K8" s="89"/>
      <c r="L8" s="89"/>
      <c r="M8" s="89"/>
      <c r="N8" s="90"/>
    </row>
    <row r="9" spans="2:14" ht="9" customHeight="1"/>
    <row r="10" spans="2:14" ht="13.5" customHeight="1">
      <c r="B10" s="40" t="s">
        <v>108</v>
      </c>
      <c r="C10" s="40" t="s">
        <v>109</v>
      </c>
      <c r="D10" s="40" t="s">
        <v>110</v>
      </c>
      <c r="E10" s="40" t="s">
        <v>18</v>
      </c>
      <c r="F10" s="40" t="s">
        <v>19</v>
      </c>
      <c r="G10" s="77" t="s">
        <v>111</v>
      </c>
      <c r="H10" s="91"/>
      <c r="I10" s="91"/>
      <c r="J10" s="91"/>
      <c r="K10" s="91"/>
      <c r="L10" s="91"/>
      <c r="M10" s="91"/>
      <c r="N10" s="92"/>
    </row>
    <row r="11" spans="2:14" ht="52.9" customHeight="1">
      <c r="B11" s="41"/>
      <c r="C11" s="42" t="s">
        <v>112</v>
      </c>
      <c r="D11" s="42" t="s">
        <v>113</v>
      </c>
      <c r="E11" s="42">
        <v>5</v>
      </c>
      <c r="F11" s="42"/>
      <c r="G11" s="68" t="s">
        <v>114</v>
      </c>
      <c r="H11" s="91"/>
      <c r="I11" s="91"/>
      <c r="J11" s="91"/>
      <c r="K11" s="91"/>
      <c r="L11" s="91"/>
      <c r="M11" s="91"/>
      <c r="N11" s="92"/>
    </row>
    <row r="12" spans="2:14" ht="68.849999999999994" customHeight="1">
      <c r="B12" s="41"/>
      <c r="C12" s="42" t="s">
        <v>115</v>
      </c>
      <c r="D12" s="42" t="s">
        <v>116</v>
      </c>
      <c r="E12" s="42"/>
      <c r="F12" s="42">
        <v>4</v>
      </c>
      <c r="G12" s="68" t="s">
        <v>117</v>
      </c>
      <c r="H12" s="91"/>
      <c r="I12" s="91"/>
      <c r="J12" s="91"/>
      <c r="K12" s="91"/>
      <c r="L12" s="91"/>
      <c r="M12" s="91"/>
      <c r="N12" s="92"/>
    </row>
    <row r="13" spans="2:14" ht="68.849999999999994" customHeight="1">
      <c r="B13" s="41"/>
      <c r="C13" s="42" t="s">
        <v>118</v>
      </c>
      <c r="D13" s="42" t="s">
        <v>119</v>
      </c>
      <c r="E13" s="42"/>
      <c r="F13" s="42">
        <v>3</v>
      </c>
      <c r="G13" s="68" t="s">
        <v>120</v>
      </c>
      <c r="H13" s="91"/>
      <c r="I13" s="91"/>
      <c r="J13" s="91"/>
      <c r="K13" s="91"/>
      <c r="L13" s="91"/>
      <c r="M13" s="91"/>
      <c r="N13" s="92"/>
    </row>
    <row r="14" spans="2:14" ht="84.75" customHeight="1">
      <c r="B14" s="41"/>
      <c r="C14" s="42" t="s">
        <v>121</v>
      </c>
      <c r="D14" s="42" t="s">
        <v>122</v>
      </c>
      <c r="E14" s="42">
        <v>3</v>
      </c>
      <c r="F14" s="42"/>
      <c r="G14" s="68" t="s">
        <v>123</v>
      </c>
      <c r="H14" s="91"/>
      <c r="I14" s="91"/>
      <c r="J14" s="91"/>
      <c r="K14" s="91"/>
      <c r="L14" s="91"/>
      <c r="M14" s="91"/>
      <c r="N14" s="92"/>
    </row>
    <row r="15" spans="2:14" ht="68.849999999999994" customHeight="1">
      <c r="B15" s="41"/>
      <c r="C15" s="42" t="s">
        <v>124</v>
      </c>
      <c r="D15" s="42" t="s">
        <v>125</v>
      </c>
      <c r="E15" s="42"/>
      <c r="F15" s="42">
        <v>4</v>
      </c>
      <c r="G15" s="68" t="s">
        <v>126</v>
      </c>
      <c r="H15" s="91"/>
      <c r="I15" s="91"/>
      <c r="J15" s="91"/>
      <c r="K15" s="91"/>
      <c r="L15" s="91"/>
      <c r="M15" s="91"/>
      <c r="N15" s="92"/>
    </row>
    <row r="16" spans="2:14" ht="52.9" customHeight="1">
      <c r="B16" s="41"/>
      <c r="C16" s="42" t="s">
        <v>112</v>
      </c>
      <c r="D16" s="42" t="s">
        <v>113</v>
      </c>
      <c r="E16" s="42">
        <v>5</v>
      </c>
      <c r="F16" s="42"/>
      <c r="G16" s="68" t="s">
        <v>127</v>
      </c>
      <c r="H16" s="91"/>
      <c r="I16" s="91"/>
      <c r="J16" s="91"/>
      <c r="K16" s="91"/>
      <c r="L16" s="91"/>
      <c r="M16" s="91"/>
      <c r="N16" s="92"/>
    </row>
    <row r="17" spans="2:14" ht="68.849999999999994" customHeight="1">
      <c r="B17" s="41"/>
      <c r="C17" s="42" t="s">
        <v>128</v>
      </c>
      <c r="D17" s="42" t="s">
        <v>116</v>
      </c>
      <c r="E17" s="42">
        <v>4</v>
      </c>
      <c r="F17" s="42"/>
      <c r="G17" s="68" t="s">
        <v>129</v>
      </c>
      <c r="H17" s="91"/>
      <c r="I17" s="91"/>
      <c r="J17" s="91"/>
      <c r="K17" s="91"/>
      <c r="L17" s="91"/>
      <c r="M17" s="91"/>
      <c r="N17" s="92"/>
    </row>
    <row r="18" spans="2:14" ht="68.849999999999994" customHeight="1">
      <c r="B18" s="41"/>
      <c r="C18" s="42" t="s">
        <v>118</v>
      </c>
      <c r="D18" s="42" t="s">
        <v>119</v>
      </c>
      <c r="E18" s="42">
        <v>3</v>
      </c>
      <c r="F18" s="42"/>
      <c r="G18" s="68" t="s">
        <v>130</v>
      </c>
      <c r="H18" s="91"/>
      <c r="I18" s="91"/>
      <c r="J18" s="91"/>
      <c r="K18" s="91"/>
      <c r="L18" s="91"/>
      <c r="M18" s="91"/>
      <c r="N18" s="92"/>
    </row>
    <row r="19" spans="2:14" ht="84.75" customHeight="1">
      <c r="B19" s="41"/>
      <c r="C19" s="42" t="s">
        <v>121</v>
      </c>
      <c r="D19" s="42" t="s">
        <v>131</v>
      </c>
      <c r="E19" s="42">
        <v>4</v>
      </c>
      <c r="F19" s="42"/>
      <c r="G19" s="68" t="s">
        <v>132</v>
      </c>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59</v>
      </c>
      <c r="C22" s="78" t="s">
        <v>133</v>
      </c>
      <c r="D22" s="93"/>
      <c r="E22" s="93"/>
      <c r="F22" s="93"/>
      <c r="G22" s="93"/>
      <c r="H22" s="94"/>
      <c r="I22" s="79" t="s">
        <v>134</v>
      </c>
      <c r="J22" s="93"/>
      <c r="K22" s="93"/>
      <c r="L22" s="93"/>
      <c r="M22" s="93"/>
      <c r="N22" s="94"/>
    </row>
    <row r="23" spans="2:14" ht="14.25" customHeight="1">
      <c r="B23" s="95"/>
      <c r="C23" s="65" t="s">
        <v>135</v>
      </c>
      <c r="D23" s="81"/>
      <c r="E23" s="81"/>
      <c r="F23" s="81"/>
      <c r="G23" s="81"/>
      <c r="H23" s="96"/>
      <c r="I23" s="65" t="s">
        <v>136</v>
      </c>
      <c r="J23" s="81"/>
      <c r="K23" s="81"/>
      <c r="L23" s="81"/>
      <c r="M23" s="81"/>
      <c r="N23" s="96"/>
    </row>
    <row r="24" spans="2:14" ht="14.25" customHeight="1">
      <c r="B24" s="95"/>
      <c r="C24" s="65" t="s">
        <v>137</v>
      </c>
      <c r="D24" s="81"/>
      <c r="E24" s="81"/>
      <c r="F24" s="81"/>
      <c r="G24" s="81"/>
      <c r="H24" s="96"/>
      <c r="I24" s="66" t="s">
        <v>138</v>
      </c>
      <c r="J24" s="81"/>
      <c r="K24" s="81"/>
      <c r="L24" s="81"/>
      <c r="M24" s="81"/>
      <c r="N24" s="96"/>
    </row>
    <row r="25" spans="2:14" ht="14.25" customHeight="1">
      <c r="B25" s="95"/>
      <c r="C25" s="65" t="s">
        <v>139</v>
      </c>
      <c r="D25" s="81"/>
      <c r="E25" s="81"/>
      <c r="F25" s="81"/>
      <c r="G25" s="81"/>
      <c r="H25" s="96"/>
      <c r="I25" s="66" t="s">
        <v>140</v>
      </c>
      <c r="J25" s="81"/>
      <c r="K25" s="81"/>
      <c r="L25" s="81"/>
      <c r="M25" s="81"/>
      <c r="N25" s="96"/>
    </row>
    <row r="26" spans="2:14" ht="14.25" customHeight="1">
      <c r="B26" s="95"/>
      <c r="C26" s="65" t="s">
        <v>141</v>
      </c>
      <c r="D26" s="81"/>
      <c r="E26" s="81"/>
      <c r="F26" s="81"/>
      <c r="G26" s="81"/>
      <c r="H26" s="96"/>
      <c r="I26" s="66" t="s">
        <v>142</v>
      </c>
      <c r="J26" s="81"/>
      <c r="K26" s="81"/>
      <c r="L26" s="81"/>
      <c r="M26" s="81"/>
      <c r="N26" s="96"/>
    </row>
    <row r="27" spans="2:14" ht="14.25" customHeight="1">
      <c r="B27" s="95"/>
      <c r="C27" s="65" t="s">
        <v>143</v>
      </c>
      <c r="D27" s="81"/>
      <c r="E27" s="81"/>
      <c r="F27" s="81"/>
      <c r="G27" s="81"/>
      <c r="H27" s="96"/>
      <c r="I27" s="66" t="s">
        <v>144</v>
      </c>
      <c r="J27" s="81"/>
      <c r="K27" s="81"/>
      <c r="L27" s="81"/>
      <c r="M27" s="81"/>
      <c r="N27" s="96"/>
    </row>
    <row r="28" spans="2:14" ht="14.25" customHeight="1">
      <c r="B28" s="95"/>
      <c r="C28" s="65" t="s">
        <v>145</v>
      </c>
      <c r="D28" s="81"/>
      <c r="E28" s="81"/>
      <c r="F28" s="81"/>
      <c r="G28" s="81"/>
      <c r="H28" s="96"/>
      <c r="I28" s="66" t="s">
        <v>146</v>
      </c>
      <c r="J28" s="81"/>
      <c r="K28" s="81"/>
      <c r="L28" s="81"/>
      <c r="M28" s="81"/>
      <c r="N28" s="96"/>
    </row>
    <row r="29" spans="2:14" ht="14.25" customHeight="1">
      <c r="B29" s="95"/>
      <c r="C29" s="65"/>
      <c r="D29" s="81"/>
      <c r="E29" s="81"/>
      <c r="F29" s="81"/>
      <c r="G29" s="81"/>
      <c r="H29" s="96"/>
      <c r="I29" s="66" t="s">
        <v>147</v>
      </c>
      <c r="J29" s="81"/>
      <c r="K29" s="81"/>
      <c r="L29" s="81"/>
      <c r="M29" s="81"/>
      <c r="N29" s="96"/>
    </row>
    <row r="30" spans="2:14" ht="14.25" customHeight="1">
      <c r="B30" s="95"/>
      <c r="C30" s="65"/>
      <c r="D30" s="81"/>
      <c r="E30" s="81"/>
      <c r="F30" s="81"/>
      <c r="G30" s="81"/>
      <c r="H30" s="96"/>
      <c r="I30" s="66" t="s">
        <v>148</v>
      </c>
      <c r="J30" s="81"/>
      <c r="K30" s="81"/>
      <c r="L30" s="81"/>
      <c r="M30" s="81"/>
      <c r="N30" s="96"/>
    </row>
    <row r="31" spans="2:14" ht="14.25" customHeight="1">
      <c r="B31" s="95"/>
      <c r="C31" s="65"/>
      <c r="D31" s="81"/>
      <c r="E31" s="81"/>
      <c r="F31" s="81"/>
      <c r="G31" s="81"/>
      <c r="H31" s="96"/>
      <c r="I31" s="66" t="s">
        <v>149</v>
      </c>
      <c r="J31" s="81"/>
      <c r="K31" s="81"/>
      <c r="L31" s="81"/>
      <c r="M31" s="81"/>
      <c r="N31" s="96"/>
    </row>
    <row r="32" spans="2:14" ht="14.25" customHeight="1">
      <c r="B32" s="95"/>
      <c r="C32" s="65"/>
      <c r="D32" s="81"/>
      <c r="E32" s="81"/>
      <c r="F32" s="81"/>
      <c r="G32" s="81"/>
      <c r="H32" s="96"/>
      <c r="I32" s="66" t="s">
        <v>150</v>
      </c>
      <c r="J32" s="81"/>
      <c r="K32" s="81"/>
      <c r="L32" s="81"/>
      <c r="M32" s="81"/>
      <c r="N32" s="96"/>
    </row>
    <row r="33" spans="2:14" ht="14.25" customHeight="1">
      <c r="B33" s="95"/>
      <c r="C33" s="65"/>
      <c r="D33" s="81"/>
      <c r="E33" s="81"/>
      <c r="F33" s="81"/>
      <c r="G33" s="81"/>
      <c r="H33" s="96"/>
      <c r="I33" s="66" t="s">
        <v>151</v>
      </c>
      <c r="J33" s="81"/>
      <c r="K33" s="81"/>
      <c r="L33" s="81"/>
      <c r="M33" s="81"/>
      <c r="N33" s="96"/>
    </row>
    <row r="34" spans="2:14" ht="14.25" customHeight="1">
      <c r="B34" s="85"/>
      <c r="C34" s="72"/>
      <c r="D34" s="97"/>
      <c r="E34" s="97"/>
      <c r="F34" s="97"/>
      <c r="G34" s="97"/>
      <c r="H34" s="98"/>
      <c r="I34" s="73" t="s">
        <v>152</v>
      </c>
      <c r="J34" s="97"/>
      <c r="K34" s="97"/>
      <c r="L34" s="97"/>
      <c r="M34" s="97"/>
      <c r="N34" s="98"/>
    </row>
    <row r="35" spans="2:14" ht="3" customHeight="1"/>
    <row r="36" spans="2:14" ht="9" customHeight="1"/>
    <row r="37" spans="2:14" ht="15" customHeight="1">
      <c r="B37" s="70"/>
      <c r="C37" s="58" t="s">
        <v>112</v>
      </c>
      <c r="D37" s="84"/>
      <c r="E37" s="62" t="s">
        <v>128</v>
      </c>
      <c r="F37" s="84"/>
      <c r="G37" s="60" t="s">
        <v>115</v>
      </c>
      <c r="H37" s="84"/>
      <c r="I37" s="60" t="s">
        <v>118</v>
      </c>
      <c r="J37" s="84"/>
      <c r="K37" s="58" t="s">
        <v>121</v>
      </c>
      <c r="L37" s="84"/>
      <c r="M37" s="58" t="s">
        <v>124</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153</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122</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f>IFERROR(AVERAGEIFS($E$11:$E$20,$C$11:$C$20,K$37,$D$11:$D$20,$B40),"")</f>
        <v>3</v>
      </c>
      <c r="L40" s="17" t="str">
        <f>IFERROR(AVERAGEIFS($F$11:$F$20,$C$11:$C$20,K$37,$D$11:$D$20,$B40),"")</f>
        <v/>
      </c>
      <c r="M40" s="18" t="str">
        <f>IFERROR(AVERAGEIFS($E$11:$E$20,$C$11:$C$20,M$37,$D$11:$D$20,$B40),"")</f>
        <v/>
      </c>
      <c r="N40" s="18" t="str">
        <f>IFERROR(AVERAGEIFS($F$11:$F$20,$C$11:$C$20,M$37,$D$11:$D$20,$B40),"")</f>
        <v/>
      </c>
    </row>
    <row r="41" spans="2:14" ht="15" customHeight="1">
      <c r="B41" s="43" t="s">
        <v>113</v>
      </c>
      <c r="C41" s="17">
        <f>IFERROR(AVERAGEIFS($E$11:$E$20,$C$11:$C$20,C$37,$D$11:$D$20,$B41),"")</f>
        <v>5</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125</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f>IFERROR(AVERAGEIFS($F$11:$F$20,$C$11:$C$20,M$37,$D$11:$D$20,$B42),"")</f>
        <v>4</v>
      </c>
    </row>
    <row r="43" spans="2:14" ht="15" customHeight="1">
      <c r="B43" s="43" t="s">
        <v>131</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f>IFERROR(AVERAGEIFS($E$11:$E$20,$C$11:$C$20,K$37,$D$11:$D$20,$B43),"")</f>
        <v>4</v>
      </c>
      <c r="L43" s="17" t="str">
        <f>IFERROR(AVERAGEIFS($F$11:$F$20,$C$11:$C$20,K$37,$D$11:$D$20,$B43),"")</f>
        <v/>
      </c>
      <c r="M43" s="18" t="str">
        <f>IFERROR(AVERAGEIFS($E$11:$E$20,$C$11:$C$20,M$37,$D$11:$D$20,$B43),"")</f>
        <v/>
      </c>
      <c r="N43" s="18" t="str">
        <f>IFERROR(AVERAGEIFS($F$11:$F$20,$C$11:$C$20,M$37,$D$11:$D$20,$B43),"")</f>
        <v/>
      </c>
    </row>
    <row r="44" spans="2:14" ht="15" customHeight="1">
      <c r="B44" s="43" t="s">
        <v>154</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155</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119</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f>IFERROR(AVERAGEIFS($E$11:$E$20,$C$11:$C$20,I$37,$D$11:$D$20,$B46),"")</f>
        <v>3</v>
      </c>
      <c r="J46" s="18">
        <f>IFERROR(AVERAGEIFS($F$11:$F$20,$C$11:$C$20,I$37,$D$11:$D$20,$B46),"")</f>
        <v>3</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156</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116</v>
      </c>
      <c r="C48" s="17" t="str">
        <f>IFERROR(AVERAGEIFS($E$11:$E$20,$C$11:$C$20,C$37,$D$11:$D$20,$B48),"")</f>
        <v/>
      </c>
      <c r="D48" s="17" t="str">
        <f>IFERROR(AVERAGEIFS($F$11:$F$20,$C$11:$C$20,C$37,$D$11:$D$20,$B48),"")</f>
        <v/>
      </c>
      <c r="E48" s="18">
        <f>IFERROR(AVERAGEIFS($E$11:$E$20,$C$11:$C$20,E$37,$D$11:$D$20,$B48),"")</f>
        <v>4</v>
      </c>
      <c r="F48" s="18" t="str">
        <f>IFERROR(AVERAGEIFS($F$11:$F$20,$C$11:$C$20,E$37,$D$11:$D$20,$B48),"")</f>
        <v/>
      </c>
      <c r="G48" s="17" t="str">
        <f>IFERROR(AVERAGEIFS($E$11:$E$20,$C$11:$C$20,G$37,$D$11:$D$20,$B48),"")</f>
        <v/>
      </c>
      <c r="H48" s="17">
        <f>IFERROR(AVERAGEIFS($F$11:$F$20,$C$11:$C$20,G$37,$D$11:$D$20,$B48),"")</f>
        <v>4</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157</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158</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159</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53" priority="2">
      <formula>COUNTIFS($C$11:$C$20,"A2")&gt;0</formula>
    </cfRule>
  </conditionalFormatting>
  <conditionalFormatting sqref="C25">
    <cfRule type="expression" dxfId="52" priority="3">
      <formula>COUNTIFS($C$11:$C$20,"A3")&gt;0</formula>
    </cfRule>
  </conditionalFormatting>
  <conditionalFormatting sqref="C26">
    <cfRule type="expression" dxfId="51" priority="4">
      <formula>COUNTIFS($C$11:$C$20,"A4")&gt;0</formula>
    </cfRule>
  </conditionalFormatting>
  <conditionalFormatting sqref="C27">
    <cfRule type="expression" dxfId="50" priority="5">
      <formula>COUNTIFS($C$11:$C$20,"A5")&gt;0</formula>
    </cfRule>
  </conditionalFormatting>
  <conditionalFormatting sqref="C28">
    <cfRule type="expression" dxfId="49" priority="6">
      <formula>COUNTIFS($C$11:$C$20,"A6")&gt;0</formula>
    </cfRule>
  </conditionalFormatting>
  <conditionalFormatting sqref="C23:H23">
    <cfRule type="expression" dxfId="48" priority="7">
      <formula>COUNTIFS($C$11:$C$20,"A1")&gt;0</formula>
    </cfRule>
  </conditionalFormatting>
  <conditionalFormatting sqref="I23">
    <cfRule type="expression" dxfId="47" priority="8">
      <formula>COUNTIFS($D$11:$D$20,"B1")&gt;0</formula>
    </cfRule>
  </conditionalFormatting>
  <conditionalFormatting sqref="I24">
    <cfRule type="expression" dxfId="46" priority="9">
      <formula>COUNTIFS($D$11:$D$20,"B2")&gt;0</formula>
    </cfRule>
  </conditionalFormatting>
  <conditionalFormatting sqref="I25">
    <cfRule type="expression" dxfId="45" priority="10">
      <formula>COUNTIFS($D$11:$D$20,"B3")&gt;0</formula>
    </cfRule>
  </conditionalFormatting>
  <conditionalFormatting sqref="I26">
    <cfRule type="expression" dxfId="44" priority="11">
      <formula>COUNTIFS($D$11:$D$20,"B4")&gt;0</formula>
    </cfRule>
  </conditionalFormatting>
  <conditionalFormatting sqref="I27">
    <cfRule type="expression" dxfId="43" priority="12">
      <formula>COUNTIFS($D$11:$D$20,"B5")&gt;0</formula>
    </cfRule>
  </conditionalFormatting>
  <conditionalFormatting sqref="I28">
    <cfRule type="expression" dxfId="42" priority="13">
      <formula>COUNTIFS($D$11:$D$20,"B6")&gt;0</formula>
    </cfRule>
  </conditionalFormatting>
  <conditionalFormatting sqref="I29">
    <cfRule type="expression" dxfId="41" priority="14">
      <formula>COUNTIFS($D$11:$D$20,"B7")&gt;0</formula>
    </cfRule>
  </conditionalFormatting>
  <conditionalFormatting sqref="I30">
    <cfRule type="expression" dxfId="40" priority="15">
      <formula>COUNTIFS($D$11:$D$20,"B8")&gt;0</formula>
    </cfRule>
  </conditionalFormatting>
  <conditionalFormatting sqref="I31">
    <cfRule type="expression" dxfId="39" priority="16">
      <formula>COUNTIFS($D$11:$D$20,"B9")&gt;0</formula>
    </cfRule>
  </conditionalFormatting>
  <conditionalFormatting sqref="I32">
    <cfRule type="expression" dxfId="38" priority="17">
      <formula>COUNTIFS($D$11:$D$20,"B10")&gt;0</formula>
    </cfRule>
  </conditionalFormatting>
  <conditionalFormatting sqref="I33">
    <cfRule type="expression" dxfId="37" priority="18">
      <formula>COUNTIFS($D$11:$D$20,"B11")&gt;0</formula>
    </cfRule>
  </conditionalFormatting>
  <conditionalFormatting sqref="I34">
    <cfRule type="expression" dxfId="36"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97</v>
      </c>
      <c r="C2" s="81"/>
      <c r="D2" s="81"/>
      <c r="E2" s="81"/>
      <c r="F2" s="81"/>
      <c r="G2" s="81"/>
      <c r="H2" s="81"/>
      <c r="I2" s="81"/>
      <c r="J2" s="81"/>
      <c r="K2" s="81"/>
      <c r="L2" s="81"/>
      <c r="M2" s="81"/>
      <c r="N2" s="81"/>
    </row>
    <row r="3" spans="2:14" ht="3" customHeight="1"/>
    <row r="4" spans="2:14" ht="15" customHeight="1">
      <c r="B4" s="38" t="s">
        <v>98</v>
      </c>
      <c r="C4" s="88" t="s">
        <v>99</v>
      </c>
      <c r="D4" s="89"/>
      <c r="E4" s="89"/>
      <c r="F4" s="89"/>
      <c r="G4" s="89"/>
      <c r="H4" s="89"/>
      <c r="I4" s="89"/>
      <c r="J4" s="89"/>
      <c r="K4" s="89"/>
      <c r="L4" s="89"/>
      <c r="M4" s="89"/>
      <c r="N4" s="90"/>
    </row>
    <row r="5" spans="2:14" ht="15" customHeight="1">
      <c r="B5" s="38" t="s">
        <v>100</v>
      </c>
      <c r="C5" s="67" t="s">
        <v>25</v>
      </c>
      <c r="D5" s="82"/>
      <c r="E5" s="82"/>
      <c r="F5" s="82"/>
      <c r="G5" s="82"/>
      <c r="H5" s="82"/>
      <c r="I5" s="83"/>
      <c r="J5" s="74" t="s">
        <v>101</v>
      </c>
      <c r="K5" s="82"/>
      <c r="L5" s="80" t="s">
        <v>24</v>
      </c>
      <c r="M5" s="82"/>
      <c r="N5" s="83"/>
    </row>
    <row r="6" spans="2:14" ht="15" customHeight="1">
      <c r="B6" s="38" t="s">
        <v>102</v>
      </c>
      <c r="C6" s="67" t="s">
        <v>103</v>
      </c>
      <c r="D6" s="82"/>
      <c r="E6" s="82"/>
      <c r="F6" s="82"/>
      <c r="G6" s="82"/>
      <c r="H6" s="82"/>
      <c r="I6" s="83"/>
      <c r="J6" s="74" t="s">
        <v>104</v>
      </c>
      <c r="K6" s="82"/>
      <c r="L6" s="67" t="s">
        <v>7</v>
      </c>
      <c r="M6" s="82"/>
      <c r="N6" s="83"/>
    </row>
    <row r="7" spans="2:14" ht="13.5" customHeight="1">
      <c r="B7" s="39" t="s">
        <v>105</v>
      </c>
      <c r="C7" s="67"/>
      <c r="D7" s="82"/>
      <c r="E7" s="82"/>
      <c r="F7" s="82"/>
      <c r="G7" s="82"/>
      <c r="H7" s="82"/>
      <c r="I7" s="83"/>
      <c r="J7" s="71" t="s">
        <v>106</v>
      </c>
      <c r="K7" s="83"/>
      <c r="L7" s="67"/>
      <c r="M7" s="82"/>
      <c r="N7" s="83"/>
    </row>
    <row r="8" spans="2:14" ht="300.75" customHeight="1">
      <c r="B8" s="38" t="s">
        <v>15</v>
      </c>
      <c r="C8" s="76" t="s">
        <v>160</v>
      </c>
      <c r="D8" s="89"/>
      <c r="E8" s="89"/>
      <c r="F8" s="89"/>
      <c r="G8" s="89"/>
      <c r="H8" s="89"/>
      <c r="I8" s="89"/>
      <c r="J8" s="89"/>
      <c r="K8" s="89"/>
      <c r="L8" s="89"/>
      <c r="M8" s="89"/>
      <c r="N8" s="90"/>
    </row>
    <row r="9" spans="2:14" ht="9" customHeight="1"/>
    <row r="10" spans="2:14" ht="13.5" customHeight="1">
      <c r="B10" s="40" t="s">
        <v>108</v>
      </c>
      <c r="C10" s="40" t="s">
        <v>109</v>
      </c>
      <c r="D10" s="40" t="s">
        <v>110</v>
      </c>
      <c r="E10" s="40" t="s">
        <v>18</v>
      </c>
      <c r="F10" s="40" t="s">
        <v>19</v>
      </c>
      <c r="G10" s="77" t="s">
        <v>111</v>
      </c>
      <c r="H10" s="91"/>
      <c r="I10" s="91"/>
      <c r="J10" s="91"/>
      <c r="K10" s="91"/>
      <c r="L10" s="91"/>
      <c r="M10" s="91"/>
      <c r="N10" s="92"/>
    </row>
    <row r="11" spans="2:14" ht="52.9" customHeight="1">
      <c r="B11" s="41"/>
      <c r="C11" s="42" t="s">
        <v>112</v>
      </c>
      <c r="D11" s="42" t="s">
        <v>113</v>
      </c>
      <c r="E11" s="42">
        <v>5</v>
      </c>
      <c r="F11" s="42"/>
      <c r="G11" s="68" t="s">
        <v>161</v>
      </c>
      <c r="H11" s="91"/>
      <c r="I11" s="91"/>
      <c r="J11" s="91"/>
      <c r="K11" s="91"/>
      <c r="L11" s="91"/>
      <c r="M11" s="91"/>
      <c r="N11" s="92"/>
    </row>
    <row r="12" spans="2:14" ht="52.9" customHeight="1">
      <c r="B12" s="41"/>
      <c r="C12" s="42" t="s">
        <v>118</v>
      </c>
      <c r="D12" s="42" t="s">
        <v>116</v>
      </c>
      <c r="E12" s="42">
        <v>4</v>
      </c>
      <c r="F12" s="42"/>
      <c r="G12" s="68" t="s">
        <v>162</v>
      </c>
      <c r="H12" s="91"/>
      <c r="I12" s="91"/>
      <c r="J12" s="91"/>
      <c r="K12" s="91"/>
      <c r="L12" s="91"/>
      <c r="M12" s="91"/>
      <c r="N12" s="92"/>
    </row>
    <row r="13" spans="2:14" ht="52.9" customHeight="1">
      <c r="B13" s="41"/>
      <c r="C13" s="42" t="s">
        <v>124</v>
      </c>
      <c r="D13" s="42" t="s">
        <v>119</v>
      </c>
      <c r="E13" s="42">
        <v>4</v>
      </c>
      <c r="F13" s="42"/>
      <c r="G13" s="68" t="s">
        <v>163</v>
      </c>
      <c r="H13" s="91"/>
      <c r="I13" s="91"/>
      <c r="J13" s="91"/>
      <c r="K13" s="91"/>
      <c r="L13" s="91"/>
      <c r="M13" s="91"/>
      <c r="N13" s="92"/>
    </row>
    <row r="14" spans="2:14" ht="68.849999999999994" customHeight="1">
      <c r="B14" s="41"/>
      <c r="C14" s="42" t="s">
        <v>115</v>
      </c>
      <c r="D14" s="42" t="s">
        <v>157</v>
      </c>
      <c r="E14" s="42"/>
      <c r="F14" s="42">
        <v>4</v>
      </c>
      <c r="G14" s="68" t="s">
        <v>164</v>
      </c>
      <c r="H14" s="91"/>
      <c r="I14" s="91"/>
      <c r="J14" s="91"/>
      <c r="K14" s="91"/>
      <c r="L14" s="91"/>
      <c r="M14" s="91"/>
      <c r="N14" s="92"/>
    </row>
    <row r="15" spans="2:14" ht="68.849999999999994" customHeight="1">
      <c r="B15" s="41"/>
      <c r="C15" s="42" t="s">
        <v>121</v>
      </c>
      <c r="D15" s="42" t="s">
        <v>131</v>
      </c>
      <c r="E15" s="42">
        <v>3</v>
      </c>
      <c r="F15" s="42"/>
      <c r="G15" s="68" t="s">
        <v>165</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59</v>
      </c>
      <c r="C22" s="78" t="s">
        <v>133</v>
      </c>
      <c r="D22" s="93"/>
      <c r="E22" s="93"/>
      <c r="F22" s="93"/>
      <c r="G22" s="93"/>
      <c r="H22" s="94"/>
      <c r="I22" s="79" t="s">
        <v>134</v>
      </c>
      <c r="J22" s="93"/>
      <c r="K22" s="93"/>
      <c r="L22" s="93"/>
      <c r="M22" s="93"/>
      <c r="N22" s="94"/>
    </row>
    <row r="23" spans="2:14" ht="14.25" customHeight="1">
      <c r="B23" s="95"/>
      <c r="C23" s="65" t="s">
        <v>135</v>
      </c>
      <c r="D23" s="81"/>
      <c r="E23" s="81"/>
      <c r="F23" s="81"/>
      <c r="G23" s="81"/>
      <c r="H23" s="96"/>
      <c r="I23" s="65" t="s">
        <v>136</v>
      </c>
      <c r="J23" s="81"/>
      <c r="K23" s="81"/>
      <c r="L23" s="81"/>
      <c r="M23" s="81"/>
      <c r="N23" s="96"/>
    </row>
    <row r="24" spans="2:14" ht="14.25" customHeight="1">
      <c r="B24" s="95"/>
      <c r="C24" s="65" t="s">
        <v>137</v>
      </c>
      <c r="D24" s="81"/>
      <c r="E24" s="81"/>
      <c r="F24" s="81"/>
      <c r="G24" s="81"/>
      <c r="H24" s="96"/>
      <c r="I24" s="66" t="s">
        <v>138</v>
      </c>
      <c r="J24" s="81"/>
      <c r="K24" s="81"/>
      <c r="L24" s="81"/>
      <c r="M24" s="81"/>
      <c r="N24" s="96"/>
    </row>
    <row r="25" spans="2:14" ht="14.25" customHeight="1">
      <c r="B25" s="95"/>
      <c r="C25" s="65" t="s">
        <v>139</v>
      </c>
      <c r="D25" s="81"/>
      <c r="E25" s="81"/>
      <c r="F25" s="81"/>
      <c r="G25" s="81"/>
      <c r="H25" s="96"/>
      <c r="I25" s="66" t="s">
        <v>140</v>
      </c>
      <c r="J25" s="81"/>
      <c r="K25" s="81"/>
      <c r="L25" s="81"/>
      <c r="M25" s="81"/>
      <c r="N25" s="96"/>
    </row>
    <row r="26" spans="2:14" ht="14.25" customHeight="1">
      <c r="B26" s="95"/>
      <c r="C26" s="65" t="s">
        <v>141</v>
      </c>
      <c r="D26" s="81"/>
      <c r="E26" s="81"/>
      <c r="F26" s="81"/>
      <c r="G26" s="81"/>
      <c r="H26" s="96"/>
      <c r="I26" s="66" t="s">
        <v>142</v>
      </c>
      <c r="J26" s="81"/>
      <c r="K26" s="81"/>
      <c r="L26" s="81"/>
      <c r="M26" s="81"/>
      <c r="N26" s="96"/>
    </row>
    <row r="27" spans="2:14" ht="14.25" customHeight="1">
      <c r="B27" s="95"/>
      <c r="C27" s="65" t="s">
        <v>143</v>
      </c>
      <c r="D27" s="81"/>
      <c r="E27" s="81"/>
      <c r="F27" s="81"/>
      <c r="G27" s="81"/>
      <c r="H27" s="96"/>
      <c r="I27" s="66" t="s">
        <v>144</v>
      </c>
      <c r="J27" s="81"/>
      <c r="K27" s="81"/>
      <c r="L27" s="81"/>
      <c r="M27" s="81"/>
      <c r="N27" s="96"/>
    </row>
    <row r="28" spans="2:14" ht="14.25" customHeight="1">
      <c r="B28" s="95"/>
      <c r="C28" s="65" t="s">
        <v>145</v>
      </c>
      <c r="D28" s="81"/>
      <c r="E28" s="81"/>
      <c r="F28" s="81"/>
      <c r="G28" s="81"/>
      <c r="H28" s="96"/>
      <c r="I28" s="66" t="s">
        <v>146</v>
      </c>
      <c r="J28" s="81"/>
      <c r="K28" s="81"/>
      <c r="L28" s="81"/>
      <c r="M28" s="81"/>
      <c r="N28" s="96"/>
    </row>
    <row r="29" spans="2:14" ht="14.25" customHeight="1">
      <c r="B29" s="95"/>
      <c r="C29" s="65"/>
      <c r="D29" s="81"/>
      <c r="E29" s="81"/>
      <c r="F29" s="81"/>
      <c r="G29" s="81"/>
      <c r="H29" s="96"/>
      <c r="I29" s="66" t="s">
        <v>147</v>
      </c>
      <c r="J29" s="81"/>
      <c r="K29" s="81"/>
      <c r="L29" s="81"/>
      <c r="M29" s="81"/>
      <c r="N29" s="96"/>
    </row>
    <row r="30" spans="2:14" ht="14.25" customHeight="1">
      <c r="B30" s="95"/>
      <c r="C30" s="65"/>
      <c r="D30" s="81"/>
      <c r="E30" s="81"/>
      <c r="F30" s="81"/>
      <c r="G30" s="81"/>
      <c r="H30" s="96"/>
      <c r="I30" s="66" t="s">
        <v>148</v>
      </c>
      <c r="J30" s="81"/>
      <c r="K30" s="81"/>
      <c r="L30" s="81"/>
      <c r="M30" s="81"/>
      <c r="N30" s="96"/>
    </row>
    <row r="31" spans="2:14" ht="14.25" customHeight="1">
      <c r="B31" s="95"/>
      <c r="C31" s="65"/>
      <c r="D31" s="81"/>
      <c r="E31" s="81"/>
      <c r="F31" s="81"/>
      <c r="G31" s="81"/>
      <c r="H31" s="96"/>
      <c r="I31" s="66" t="s">
        <v>149</v>
      </c>
      <c r="J31" s="81"/>
      <c r="K31" s="81"/>
      <c r="L31" s="81"/>
      <c r="M31" s="81"/>
      <c r="N31" s="96"/>
    </row>
    <row r="32" spans="2:14" ht="14.25" customHeight="1">
      <c r="B32" s="95"/>
      <c r="C32" s="65"/>
      <c r="D32" s="81"/>
      <c r="E32" s="81"/>
      <c r="F32" s="81"/>
      <c r="G32" s="81"/>
      <c r="H32" s="96"/>
      <c r="I32" s="66" t="s">
        <v>150</v>
      </c>
      <c r="J32" s="81"/>
      <c r="K32" s="81"/>
      <c r="L32" s="81"/>
      <c r="M32" s="81"/>
      <c r="N32" s="96"/>
    </row>
    <row r="33" spans="2:14" ht="14.25" customHeight="1">
      <c r="B33" s="95"/>
      <c r="C33" s="65"/>
      <c r="D33" s="81"/>
      <c r="E33" s="81"/>
      <c r="F33" s="81"/>
      <c r="G33" s="81"/>
      <c r="H33" s="96"/>
      <c r="I33" s="66" t="s">
        <v>151</v>
      </c>
      <c r="J33" s="81"/>
      <c r="K33" s="81"/>
      <c r="L33" s="81"/>
      <c r="M33" s="81"/>
      <c r="N33" s="96"/>
    </row>
    <row r="34" spans="2:14" ht="14.25" customHeight="1">
      <c r="B34" s="85"/>
      <c r="C34" s="72"/>
      <c r="D34" s="97"/>
      <c r="E34" s="97"/>
      <c r="F34" s="97"/>
      <c r="G34" s="97"/>
      <c r="H34" s="98"/>
      <c r="I34" s="73" t="s">
        <v>152</v>
      </c>
      <c r="J34" s="97"/>
      <c r="K34" s="97"/>
      <c r="L34" s="97"/>
      <c r="M34" s="97"/>
      <c r="N34" s="98"/>
    </row>
    <row r="35" spans="2:14" ht="3" customHeight="1"/>
    <row r="36" spans="2:14" ht="9" customHeight="1"/>
    <row r="37" spans="2:14" ht="15" customHeight="1">
      <c r="B37" s="70"/>
      <c r="C37" s="58" t="s">
        <v>112</v>
      </c>
      <c r="D37" s="84"/>
      <c r="E37" s="62" t="s">
        <v>128</v>
      </c>
      <c r="F37" s="84"/>
      <c r="G37" s="60" t="s">
        <v>115</v>
      </c>
      <c r="H37" s="84"/>
      <c r="I37" s="60" t="s">
        <v>118</v>
      </c>
      <c r="J37" s="84"/>
      <c r="K37" s="58" t="s">
        <v>121</v>
      </c>
      <c r="L37" s="84"/>
      <c r="M37" s="58" t="s">
        <v>124</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153</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122</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t="str">
        <f>IFERROR(AVERAGEIFS($E$11:$E$20,$C$11:$C$20,K$37,$D$11:$D$20,$B40),"")</f>
        <v/>
      </c>
      <c r="L40" s="17" t="str">
        <f>IFERROR(AVERAGEIFS($F$11:$F$20,$C$11:$C$20,K$37,$D$11:$D$20,$B40),"")</f>
        <v/>
      </c>
      <c r="M40" s="18" t="str">
        <f>IFERROR(AVERAGEIFS($E$11:$E$20,$C$11:$C$20,M$37,$D$11:$D$20,$B40),"")</f>
        <v/>
      </c>
      <c r="N40" s="18" t="str">
        <f>IFERROR(AVERAGEIFS($F$11:$F$20,$C$11:$C$20,M$37,$D$11:$D$20,$B40),"")</f>
        <v/>
      </c>
    </row>
    <row r="41" spans="2:14" ht="15" customHeight="1">
      <c r="B41" s="43" t="s">
        <v>113</v>
      </c>
      <c r="C41" s="17">
        <f>IFERROR(AVERAGEIFS($E$11:$E$20,$C$11:$C$20,C$37,$D$11:$D$20,$B41),"")</f>
        <v>5</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125</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t="str">
        <f>IFERROR(AVERAGEIFS($F$11:$F$20,$C$11:$C$20,M$37,$D$11:$D$20,$B42),"")</f>
        <v/>
      </c>
    </row>
    <row r="43" spans="2:14" ht="15" customHeight="1">
      <c r="B43" s="43" t="s">
        <v>131</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f>IFERROR(AVERAGEIFS($E$11:$E$20,$C$11:$C$20,K$37,$D$11:$D$20,$B43),"")</f>
        <v>3</v>
      </c>
      <c r="L43" s="17" t="str">
        <f>IFERROR(AVERAGEIFS($F$11:$F$20,$C$11:$C$20,K$37,$D$11:$D$20,$B43),"")</f>
        <v/>
      </c>
      <c r="M43" s="18" t="str">
        <f>IFERROR(AVERAGEIFS($E$11:$E$20,$C$11:$C$20,M$37,$D$11:$D$20,$B43),"")</f>
        <v/>
      </c>
      <c r="N43" s="18" t="str">
        <f>IFERROR(AVERAGEIFS($F$11:$F$20,$C$11:$C$20,M$37,$D$11:$D$20,$B43),"")</f>
        <v/>
      </c>
    </row>
    <row r="44" spans="2:14" ht="15" customHeight="1">
      <c r="B44" s="43" t="s">
        <v>154</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155</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119</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t="str">
        <f>IFERROR(AVERAGEIFS($F$11:$F$20,$C$11:$C$20,I$37,$D$11:$D$20,$B46),"")</f>
        <v/>
      </c>
      <c r="K46" s="17" t="str">
        <f>IFERROR(AVERAGEIFS($E$11:$E$20,$C$11:$C$20,K$37,$D$11:$D$20,$B46),"")</f>
        <v/>
      </c>
      <c r="L46" s="17" t="str">
        <f>IFERROR(AVERAGEIFS($F$11:$F$20,$C$11:$C$20,K$37,$D$11:$D$20,$B46),"")</f>
        <v/>
      </c>
      <c r="M46" s="18">
        <f>IFERROR(AVERAGEIFS($E$11:$E$20,$C$11:$C$20,M$37,$D$11:$D$20,$B46),"")</f>
        <v>4</v>
      </c>
      <c r="N46" s="18" t="str">
        <f>IFERROR(AVERAGEIFS($F$11:$F$20,$C$11:$C$20,M$37,$D$11:$D$20,$B46),"")</f>
        <v/>
      </c>
    </row>
    <row r="47" spans="2:14" ht="15" customHeight="1">
      <c r="B47" s="43" t="s">
        <v>156</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116</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t="str">
        <f>IFERROR(AVERAGEIFS($F$11:$F$20,$C$11:$C$20,G$37,$D$11:$D$20,$B48),"")</f>
        <v/>
      </c>
      <c r="I48" s="18">
        <f>IFERROR(AVERAGEIFS($E$11:$E$20,$C$11:$C$20,I$37,$D$11:$D$20,$B48),"")</f>
        <v>4</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157</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f>IFERROR(AVERAGEIFS($F$11:$F$20,$C$11:$C$20,G$37,$D$11:$D$20,$B49),"")</f>
        <v>4</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158</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159</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35" priority="2">
      <formula>COUNTIFS($C$11:$C$20,"A2")&gt;0</formula>
    </cfRule>
  </conditionalFormatting>
  <conditionalFormatting sqref="C25">
    <cfRule type="expression" dxfId="34" priority="3">
      <formula>COUNTIFS($C$11:$C$20,"A3")&gt;0</formula>
    </cfRule>
  </conditionalFormatting>
  <conditionalFormatting sqref="C26">
    <cfRule type="expression" dxfId="33" priority="4">
      <formula>COUNTIFS($C$11:$C$20,"A4")&gt;0</formula>
    </cfRule>
  </conditionalFormatting>
  <conditionalFormatting sqref="C27">
    <cfRule type="expression" dxfId="32" priority="5">
      <formula>COUNTIFS($C$11:$C$20,"A5")&gt;0</formula>
    </cfRule>
  </conditionalFormatting>
  <conditionalFormatting sqref="C28">
    <cfRule type="expression" dxfId="31" priority="6">
      <formula>COUNTIFS($C$11:$C$20,"A6")&gt;0</formula>
    </cfRule>
  </conditionalFormatting>
  <conditionalFormatting sqref="C23:H23">
    <cfRule type="expression" dxfId="30" priority="7">
      <formula>COUNTIFS($C$11:$C$20,"A1")&gt;0</formula>
    </cfRule>
  </conditionalFormatting>
  <conditionalFormatting sqref="I23">
    <cfRule type="expression" dxfId="29" priority="8">
      <formula>COUNTIFS($D$11:$D$20,"B1")&gt;0</formula>
    </cfRule>
  </conditionalFormatting>
  <conditionalFormatting sqref="I24">
    <cfRule type="expression" dxfId="28" priority="9">
      <formula>COUNTIFS($D$11:$D$20,"B2")&gt;0</formula>
    </cfRule>
  </conditionalFormatting>
  <conditionalFormatting sqref="I25">
    <cfRule type="expression" dxfId="27" priority="10">
      <formula>COUNTIFS($D$11:$D$20,"B3")&gt;0</formula>
    </cfRule>
  </conditionalFormatting>
  <conditionalFormatting sqref="I26">
    <cfRule type="expression" dxfId="26" priority="11">
      <formula>COUNTIFS($D$11:$D$20,"B4")&gt;0</formula>
    </cfRule>
  </conditionalFormatting>
  <conditionalFormatting sqref="I27">
    <cfRule type="expression" dxfId="25" priority="12">
      <formula>COUNTIFS($D$11:$D$20,"B5")&gt;0</formula>
    </cfRule>
  </conditionalFormatting>
  <conditionalFormatting sqref="I28">
    <cfRule type="expression" dxfId="24" priority="13">
      <formula>COUNTIFS($D$11:$D$20,"B6")&gt;0</formula>
    </cfRule>
  </conditionalFormatting>
  <conditionalFormatting sqref="I29">
    <cfRule type="expression" dxfId="23" priority="14">
      <formula>COUNTIFS($D$11:$D$20,"B7")&gt;0</formula>
    </cfRule>
  </conditionalFormatting>
  <conditionalFormatting sqref="I30">
    <cfRule type="expression" dxfId="22" priority="15">
      <formula>COUNTIFS($D$11:$D$20,"B8")&gt;0</formula>
    </cfRule>
  </conditionalFormatting>
  <conditionalFormatting sqref="I31">
    <cfRule type="expression" dxfId="21" priority="16">
      <formula>COUNTIFS($D$11:$D$20,"B9")&gt;0</formula>
    </cfRule>
  </conditionalFormatting>
  <conditionalFormatting sqref="I32">
    <cfRule type="expression" dxfId="20" priority="17">
      <formula>COUNTIFS($D$11:$D$20,"B10")&gt;0</formula>
    </cfRule>
  </conditionalFormatting>
  <conditionalFormatting sqref="I33">
    <cfRule type="expression" dxfId="19" priority="18">
      <formula>COUNTIFS($D$11:$D$20,"B11")&gt;0</formula>
    </cfRule>
  </conditionalFormatting>
  <conditionalFormatting sqref="I34">
    <cfRule type="expression" dxfId="18"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4"/>
    <pageSetUpPr fitToPage="1"/>
  </sheetPr>
  <dimension ref="B1:AMJ1048576"/>
  <sheetViews>
    <sheetView workbookViewId="0"/>
  </sheetViews>
  <sheetFormatPr defaultColWidth="8.85546875" defaultRowHeight="15" zeroHeight="1"/>
  <cols>
    <col min="1" max="1" width="3.5703125" customWidth="1"/>
    <col min="2" max="2" width="15.28515625" customWidth="1"/>
    <col min="3" max="14" width="8.7109375" customWidth="1"/>
    <col min="15" max="15" width="3.5703125" customWidth="1"/>
    <col min="16" max="19" width="11.5703125" hidden="1" customWidth="1"/>
    <col min="20" max="1024" width="8.85546875" hidden="1" customWidth="1"/>
  </cols>
  <sheetData>
    <row r="1" spans="2:14" ht="3" customHeight="1"/>
    <row r="2" spans="2:14" ht="15" customHeight="1">
      <c r="B2" s="54" t="s">
        <v>97</v>
      </c>
      <c r="C2" s="81"/>
      <c r="D2" s="81"/>
      <c r="E2" s="81"/>
      <c r="F2" s="81"/>
      <c r="G2" s="81"/>
      <c r="H2" s="81"/>
      <c r="I2" s="81"/>
      <c r="J2" s="81"/>
      <c r="K2" s="81"/>
      <c r="L2" s="81"/>
      <c r="M2" s="81"/>
      <c r="N2" s="81"/>
    </row>
    <row r="3" spans="2:14" ht="3" customHeight="1"/>
    <row r="4" spans="2:14" ht="15" customHeight="1">
      <c r="B4" s="38" t="s">
        <v>98</v>
      </c>
      <c r="C4" s="88" t="s">
        <v>99</v>
      </c>
      <c r="D4" s="89"/>
      <c r="E4" s="89"/>
      <c r="F4" s="89"/>
      <c r="G4" s="89"/>
      <c r="H4" s="89"/>
      <c r="I4" s="89"/>
      <c r="J4" s="89"/>
      <c r="K4" s="89"/>
      <c r="L4" s="89"/>
      <c r="M4" s="89"/>
      <c r="N4" s="90"/>
    </row>
    <row r="5" spans="2:14" ht="15" customHeight="1">
      <c r="B5" s="38" t="s">
        <v>100</v>
      </c>
      <c r="C5" s="67" t="s">
        <v>21</v>
      </c>
      <c r="D5" s="82"/>
      <c r="E5" s="82"/>
      <c r="F5" s="82"/>
      <c r="G5" s="82"/>
      <c r="H5" s="82"/>
      <c r="I5" s="83"/>
      <c r="J5" s="74" t="s">
        <v>101</v>
      </c>
      <c r="K5" s="82"/>
      <c r="L5" s="80" t="s">
        <v>26</v>
      </c>
      <c r="M5" s="82"/>
      <c r="N5" s="83"/>
    </row>
    <row r="6" spans="2:14" ht="15" customHeight="1">
      <c r="B6" s="38" t="s">
        <v>102</v>
      </c>
      <c r="C6" s="67" t="s">
        <v>103</v>
      </c>
      <c r="D6" s="82"/>
      <c r="E6" s="82"/>
      <c r="F6" s="82"/>
      <c r="G6" s="82"/>
      <c r="H6" s="82"/>
      <c r="I6" s="83"/>
      <c r="J6" s="74" t="s">
        <v>104</v>
      </c>
      <c r="K6" s="82"/>
      <c r="L6" s="67" t="s">
        <v>7</v>
      </c>
      <c r="M6" s="82"/>
      <c r="N6" s="83"/>
    </row>
    <row r="7" spans="2:14" ht="13.5" customHeight="1">
      <c r="B7" s="39" t="s">
        <v>105</v>
      </c>
      <c r="C7" s="67"/>
      <c r="D7" s="82"/>
      <c r="E7" s="82"/>
      <c r="F7" s="82"/>
      <c r="G7" s="82"/>
      <c r="H7" s="82"/>
      <c r="I7" s="83"/>
      <c r="J7" s="71" t="s">
        <v>106</v>
      </c>
      <c r="K7" s="83"/>
      <c r="L7" s="67"/>
      <c r="M7" s="82"/>
      <c r="N7" s="83"/>
    </row>
    <row r="8" spans="2:14" ht="300.75" customHeight="1">
      <c r="B8" s="38" t="s">
        <v>15</v>
      </c>
      <c r="C8" s="76" t="s">
        <v>166</v>
      </c>
      <c r="D8" s="89"/>
      <c r="E8" s="89"/>
      <c r="F8" s="89"/>
      <c r="G8" s="89"/>
      <c r="H8" s="89"/>
      <c r="I8" s="89"/>
      <c r="J8" s="89"/>
      <c r="K8" s="89"/>
      <c r="L8" s="89"/>
      <c r="M8" s="89"/>
      <c r="N8" s="90"/>
    </row>
    <row r="9" spans="2:14" ht="9" customHeight="1"/>
    <row r="10" spans="2:14" ht="13.5" customHeight="1">
      <c r="B10" s="40" t="s">
        <v>108</v>
      </c>
      <c r="C10" s="40" t="s">
        <v>109</v>
      </c>
      <c r="D10" s="40" t="s">
        <v>110</v>
      </c>
      <c r="E10" s="40" t="s">
        <v>18</v>
      </c>
      <c r="F10" s="40" t="s">
        <v>19</v>
      </c>
      <c r="G10" s="77" t="s">
        <v>111</v>
      </c>
      <c r="H10" s="91"/>
      <c r="I10" s="91"/>
      <c r="J10" s="91"/>
      <c r="K10" s="91"/>
      <c r="L10" s="91"/>
      <c r="M10" s="91"/>
      <c r="N10" s="92"/>
    </row>
    <row r="11" spans="2:14" ht="52.9" customHeight="1">
      <c r="B11" s="41"/>
      <c r="C11" s="42" t="s">
        <v>112</v>
      </c>
      <c r="D11" s="42" t="s">
        <v>113</v>
      </c>
      <c r="E11" s="42">
        <v>5</v>
      </c>
      <c r="F11" s="42"/>
      <c r="G11" s="68" t="s">
        <v>114</v>
      </c>
      <c r="H11" s="91"/>
      <c r="I11" s="91"/>
      <c r="J11" s="91"/>
      <c r="K11" s="91"/>
      <c r="L11" s="91"/>
      <c r="M11" s="91"/>
      <c r="N11" s="92"/>
    </row>
    <row r="12" spans="2:14" ht="68.849999999999994" customHeight="1">
      <c r="B12" s="41"/>
      <c r="C12" s="42" t="s">
        <v>115</v>
      </c>
      <c r="D12" s="42" t="s">
        <v>116</v>
      </c>
      <c r="E12" s="42"/>
      <c r="F12" s="42">
        <v>4</v>
      </c>
      <c r="G12" s="68" t="s">
        <v>117</v>
      </c>
      <c r="H12" s="91"/>
      <c r="I12" s="91"/>
      <c r="J12" s="91"/>
      <c r="K12" s="91"/>
      <c r="L12" s="91"/>
      <c r="M12" s="91"/>
      <c r="N12" s="92"/>
    </row>
    <row r="13" spans="2:14" ht="84.75" customHeight="1">
      <c r="B13" s="41"/>
      <c r="C13" s="42" t="s">
        <v>121</v>
      </c>
      <c r="D13" s="42" t="s">
        <v>122</v>
      </c>
      <c r="E13" s="42">
        <v>4</v>
      </c>
      <c r="F13" s="42"/>
      <c r="G13" s="68" t="s">
        <v>123</v>
      </c>
      <c r="H13" s="91"/>
      <c r="I13" s="91"/>
      <c r="J13" s="91"/>
      <c r="K13" s="91"/>
      <c r="L13" s="91"/>
      <c r="M13" s="91"/>
      <c r="N13" s="92"/>
    </row>
    <row r="14" spans="2:14" ht="68.849999999999994" customHeight="1">
      <c r="B14" s="41"/>
      <c r="C14" s="42" t="s">
        <v>124</v>
      </c>
      <c r="D14" s="42" t="s">
        <v>125</v>
      </c>
      <c r="E14" s="42"/>
      <c r="F14" s="42">
        <v>4</v>
      </c>
      <c r="G14" s="68" t="s">
        <v>126</v>
      </c>
      <c r="H14" s="91"/>
      <c r="I14" s="91"/>
      <c r="J14" s="91"/>
      <c r="K14" s="91"/>
      <c r="L14" s="91"/>
      <c r="M14" s="91"/>
      <c r="N14" s="92"/>
    </row>
    <row r="15" spans="2:14" ht="68.849999999999994" customHeight="1">
      <c r="B15" s="41"/>
      <c r="C15" s="42" t="s">
        <v>118</v>
      </c>
      <c r="D15" s="42" t="s">
        <v>119</v>
      </c>
      <c r="E15" s="42"/>
      <c r="F15" s="42">
        <v>3</v>
      </c>
      <c r="G15" s="68" t="s">
        <v>120</v>
      </c>
      <c r="H15" s="91"/>
      <c r="I15" s="91"/>
      <c r="J15" s="91"/>
      <c r="K15" s="91"/>
      <c r="L15" s="91"/>
      <c r="M15" s="91"/>
      <c r="N15" s="92"/>
    </row>
    <row r="16" spans="2:14" ht="15" customHeight="1">
      <c r="B16" s="41"/>
      <c r="C16" s="42"/>
      <c r="D16" s="42"/>
      <c r="E16" s="42"/>
      <c r="F16" s="42"/>
      <c r="G16" s="68"/>
      <c r="H16" s="91"/>
      <c r="I16" s="91"/>
      <c r="J16" s="91"/>
      <c r="K16" s="91"/>
      <c r="L16" s="91"/>
      <c r="M16" s="91"/>
      <c r="N16" s="92"/>
    </row>
    <row r="17" spans="2:14" ht="15" customHeight="1">
      <c r="B17" s="41"/>
      <c r="C17" s="42"/>
      <c r="D17" s="42"/>
      <c r="E17" s="42"/>
      <c r="F17" s="42"/>
      <c r="G17" s="68"/>
      <c r="H17" s="91"/>
      <c r="I17" s="91"/>
      <c r="J17" s="91"/>
      <c r="K17" s="91"/>
      <c r="L17" s="91"/>
      <c r="M17" s="91"/>
      <c r="N17" s="92"/>
    </row>
    <row r="18" spans="2:14" ht="15" customHeight="1">
      <c r="B18" s="41"/>
      <c r="C18" s="42"/>
      <c r="D18" s="42"/>
      <c r="E18" s="42"/>
      <c r="F18" s="42"/>
      <c r="G18" s="68"/>
      <c r="H18" s="91"/>
      <c r="I18" s="91"/>
      <c r="J18" s="91"/>
      <c r="K18" s="91"/>
      <c r="L18" s="91"/>
      <c r="M18" s="91"/>
      <c r="N18" s="92"/>
    </row>
    <row r="19" spans="2:14" ht="15" customHeight="1">
      <c r="B19" s="41"/>
      <c r="C19" s="42"/>
      <c r="D19" s="42"/>
      <c r="E19" s="42"/>
      <c r="F19" s="42"/>
      <c r="G19" s="68"/>
      <c r="H19" s="91"/>
      <c r="I19" s="91"/>
      <c r="J19" s="91"/>
      <c r="K19" s="91"/>
      <c r="L19" s="91"/>
      <c r="M19" s="91"/>
      <c r="N19" s="92"/>
    </row>
    <row r="20" spans="2:14" ht="15" customHeight="1">
      <c r="B20" s="41"/>
      <c r="C20" s="42"/>
      <c r="D20" s="42"/>
      <c r="E20" s="42"/>
      <c r="F20" s="42"/>
      <c r="G20" s="68"/>
      <c r="H20" s="91"/>
      <c r="I20" s="91"/>
      <c r="J20" s="91"/>
      <c r="K20" s="91"/>
      <c r="L20" s="91"/>
      <c r="M20" s="91"/>
      <c r="N20" s="92"/>
    </row>
    <row r="21" spans="2:14" ht="9" customHeight="1"/>
    <row r="22" spans="2:14" ht="14.25" customHeight="1">
      <c r="B22" s="69" t="s">
        <v>59</v>
      </c>
      <c r="C22" s="78" t="s">
        <v>133</v>
      </c>
      <c r="D22" s="93"/>
      <c r="E22" s="93"/>
      <c r="F22" s="93"/>
      <c r="G22" s="93"/>
      <c r="H22" s="94"/>
      <c r="I22" s="79" t="s">
        <v>134</v>
      </c>
      <c r="J22" s="93"/>
      <c r="K22" s="93"/>
      <c r="L22" s="93"/>
      <c r="M22" s="93"/>
      <c r="N22" s="94"/>
    </row>
    <row r="23" spans="2:14" ht="14.25" customHeight="1">
      <c r="B23" s="95"/>
      <c r="C23" s="65" t="s">
        <v>135</v>
      </c>
      <c r="D23" s="81"/>
      <c r="E23" s="81"/>
      <c r="F23" s="81"/>
      <c r="G23" s="81"/>
      <c r="H23" s="96"/>
      <c r="I23" s="65" t="s">
        <v>136</v>
      </c>
      <c r="J23" s="81"/>
      <c r="K23" s="81"/>
      <c r="L23" s="81"/>
      <c r="M23" s="81"/>
      <c r="N23" s="96"/>
    </row>
    <row r="24" spans="2:14" ht="14.25" customHeight="1">
      <c r="B24" s="95"/>
      <c r="C24" s="65" t="s">
        <v>137</v>
      </c>
      <c r="D24" s="81"/>
      <c r="E24" s="81"/>
      <c r="F24" s="81"/>
      <c r="G24" s="81"/>
      <c r="H24" s="96"/>
      <c r="I24" s="66" t="s">
        <v>138</v>
      </c>
      <c r="J24" s="81"/>
      <c r="K24" s="81"/>
      <c r="L24" s="81"/>
      <c r="M24" s="81"/>
      <c r="N24" s="96"/>
    </row>
    <row r="25" spans="2:14" ht="14.25" customHeight="1">
      <c r="B25" s="95"/>
      <c r="C25" s="65" t="s">
        <v>139</v>
      </c>
      <c r="D25" s="81"/>
      <c r="E25" s="81"/>
      <c r="F25" s="81"/>
      <c r="G25" s="81"/>
      <c r="H25" s="96"/>
      <c r="I25" s="66" t="s">
        <v>140</v>
      </c>
      <c r="J25" s="81"/>
      <c r="K25" s="81"/>
      <c r="L25" s="81"/>
      <c r="M25" s="81"/>
      <c r="N25" s="96"/>
    </row>
    <row r="26" spans="2:14" ht="14.25" customHeight="1">
      <c r="B26" s="95"/>
      <c r="C26" s="65" t="s">
        <v>141</v>
      </c>
      <c r="D26" s="81"/>
      <c r="E26" s="81"/>
      <c r="F26" s="81"/>
      <c r="G26" s="81"/>
      <c r="H26" s="96"/>
      <c r="I26" s="66" t="s">
        <v>142</v>
      </c>
      <c r="J26" s="81"/>
      <c r="K26" s="81"/>
      <c r="L26" s="81"/>
      <c r="M26" s="81"/>
      <c r="N26" s="96"/>
    </row>
    <row r="27" spans="2:14" ht="14.25" customHeight="1">
      <c r="B27" s="95"/>
      <c r="C27" s="65" t="s">
        <v>143</v>
      </c>
      <c r="D27" s="81"/>
      <c r="E27" s="81"/>
      <c r="F27" s="81"/>
      <c r="G27" s="81"/>
      <c r="H27" s="96"/>
      <c r="I27" s="66" t="s">
        <v>144</v>
      </c>
      <c r="J27" s="81"/>
      <c r="K27" s="81"/>
      <c r="L27" s="81"/>
      <c r="M27" s="81"/>
      <c r="N27" s="96"/>
    </row>
    <row r="28" spans="2:14" ht="14.25" customHeight="1">
      <c r="B28" s="95"/>
      <c r="C28" s="65" t="s">
        <v>145</v>
      </c>
      <c r="D28" s="81"/>
      <c r="E28" s="81"/>
      <c r="F28" s="81"/>
      <c r="G28" s="81"/>
      <c r="H28" s="96"/>
      <c r="I28" s="66" t="s">
        <v>146</v>
      </c>
      <c r="J28" s="81"/>
      <c r="K28" s="81"/>
      <c r="L28" s="81"/>
      <c r="M28" s="81"/>
      <c r="N28" s="96"/>
    </row>
    <row r="29" spans="2:14" ht="14.25" customHeight="1">
      <c r="B29" s="95"/>
      <c r="C29" s="65"/>
      <c r="D29" s="81"/>
      <c r="E29" s="81"/>
      <c r="F29" s="81"/>
      <c r="G29" s="81"/>
      <c r="H29" s="96"/>
      <c r="I29" s="66" t="s">
        <v>147</v>
      </c>
      <c r="J29" s="81"/>
      <c r="K29" s="81"/>
      <c r="L29" s="81"/>
      <c r="M29" s="81"/>
      <c r="N29" s="96"/>
    </row>
    <row r="30" spans="2:14" ht="14.25" customHeight="1">
      <c r="B30" s="95"/>
      <c r="C30" s="65"/>
      <c r="D30" s="81"/>
      <c r="E30" s="81"/>
      <c r="F30" s="81"/>
      <c r="G30" s="81"/>
      <c r="H30" s="96"/>
      <c r="I30" s="66" t="s">
        <v>148</v>
      </c>
      <c r="J30" s="81"/>
      <c r="K30" s="81"/>
      <c r="L30" s="81"/>
      <c r="M30" s="81"/>
      <c r="N30" s="96"/>
    </row>
    <row r="31" spans="2:14" ht="14.25" customHeight="1">
      <c r="B31" s="95"/>
      <c r="C31" s="65"/>
      <c r="D31" s="81"/>
      <c r="E31" s="81"/>
      <c r="F31" s="81"/>
      <c r="G31" s="81"/>
      <c r="H31" s="96"/>
      <c r="I31" s="66" t="s">
        <v>149</v>
      </c>
      <c r="J31" s="81"/>
      <c r="K31" s="81"/>
      <c r="L31" s="81"/>
      <c r="M31" s="81"/>
      <c r="N31" s="96"/>
    </row>
    <row r="32" spans="2:14" ht="14.25" customHeight="1">
      <c r="B32" s="95"/>
      <c r="C32" s="65"/>
      <c r="D32" s="81"/>
      <c r="E32" s="81"/>
      <c r="F32" s="81"/>
      <c r="G32" s="81"/>
      <c r="H32" s="96"/>
      <c r="I32" s="66" t="s">
        <v>150</v>
      </c>
      <c r="J32" s="81"/>
      <c r="K32" s="81"/>
      <c r="L32" s="81"/>
      <c r="M32" s="81"/>
      <c r="N32" s="96"/>
    </row>
    <row r="33" spans="2:14" ht="14.25" customHeight="1">
      <c r="B33" s="95"/>
      <c r="C33" s="65"/>
      <c r="D33" s="81"/>
      <c r="E33" s="81"/>
      <c r="F33" s="81"/>
      <c r="G33" s="81"/>
      <c r="H33" s="96"/>
      <c r="I33" s="66" t="s">
        <v>151</v>
      </c>
      <c r="J33" s="81"/>
      <c r="K33" s="81"/>
      <c r="L33" s="81"/>
      <c r="M33" s="81"/>
      <c r="N33" s="96"/>
    </row>
    <row r="34" spans="2:14" ht="14.25" customHeight="1">
      <c r="B34" s="85"/>
      <c r="C34" s="72"/>
      <c r="D34" s="97"/>
      <c r="E34" s="97"/>
      <c r="F34" s="97"/>
      <c r="G34" s="97"/>
      <c r="H34" s="98"/>
      <c r="I34" s="73" t="s">
        <v>152</v>
      </c>
      <c r="J34" s="97"/>
      <c r="K34" s="97"/>
      <c r="L34" s="97"/>
      <c r="M34" s="97"/>
      <c r="N34" s="98"/>
    </row>
    <row r="35" spans="2:14" ht="3" customHeight="1"/>
    <row r="36" spans="2:14" ht="9" customHeight="1"/>
    <row r="37" spans="2:14" ht="15" customHeight="1">
      <c r="B37" s="70"/>
      <c r="C37" s="58" t="s">
        <v>112</v>
      </c>
      <c r="D37" s="84"/>
      <c r="E37" s="62" t="s">
        <v>128</v>
      </c>
      <c r="F37" s="84"/>
      <c r="G37" s="60" t="s">
        <v>115</v>
      </c>
      <c r="H37" s="84"/>
      <c r="I37" s="60" t="s">
        <v>118</v>
      </c>
      <c r="J37" s="84"/>
      <c r="K37" s="58" t="s">
        <v>121</v>
      </c>
      <c r="L37" s="84"/>
      <c r="M37" s="58" t="s">
        <v>124</v>
      </c>
      <c r="N37" s="84"/>
    </row>
    <row r="38" spans="2:14" ht="15" customHeight="1">
      <c r="B38" s="85"/>
      <c r="C38" s="13" t="s">
        <v>18</v>
      </c>
      <c r="D38" s="13" t="s">
        <v>19</v>
      </c>
      <c r="E38" s="14" t="s">
        <v>18</v>
      </c>
      <c r="F38" s="14" t="s">
        <v>19</v>
      </c>
      <c r="G38" s="13" t="s">
        <v>18</v>
      </c>
      <c r="H38" s="13" t="s">
        <v>19</v>
      </c>
      <c r="I38" s="14" t="s">
        <v>18</v>
      </c>
      <c r="J38" s="14" t="s">
        <v>19</v>
      </c>
      <c r="K38" s="13" t="s">
        <v>18</v>
      </c>
      <c r="L38" s="13" t="s">
        <v>19</v>
      </c>
      <c r="M38" s="14" t="s">
        <v>18</v>
      </c>
      <c r="N38" s="14" t="s">
        <v>19</v>
      </c>
    </row>
    <row r="39" spans="2:14" ht="15" customHeight="1">
      <c r="B39" s="43" t="s">
        <v>153</v>
      </c>
      <c r="C39" s="17" t="str">
        <f>IFERROR(AVERAGEIFS($E$11:$E$20,$C$11:$C$20,C$37,$D$11:$D$20,$B39),"")</f>
        <v/>
      </c>
      <c r="D39" s="17" t="str">
        <f>IFERROR(AVERAGEIFS($F$11:$F$20,$C$11:$C$20,C$37,$D$11:$D$20,$B39),"")</f>
        <v/>
      </c>
      <c r="E39" s="18" t="str">
        <f>IFERROR(AVERAGEIFS($E$11:$E$20,$C$11:$C$20,E$37,$D$11:$D$20,$B39),"")</f>
        <v/>
      </c>
      <c r="F39" s="18" t="str">
        <f>IFERROR(AVERAGEIFS($F$11:$F$20,$C$11:$C$20,E$37,$D$11:$D$20,$B39),"")</f>
        <v/>
      </c>
      <c r="G39" s="17" t="str">
        <f>IFERROR(AVERAGEIFS($E$11:$E$20,$C$11:$C$20,G$37,$D$11:$D$20,$B39),"")</f>
        <v/>
      </c>
      <c r="H39" s="17" t="str">
        <f>IFERROR(AVERAGEIFS($F$11:$F$20,$C$11:$C$20,G$37,$D$11:$D$20,$B39),"")</f>
        <v/>
      </c>
      <c r="I39" s="18" t="str">
        <f>IFERROR(AVERAGEIFS($E$11:$E$20,$C$11:$C$20,I$37,$D$11:$D$20,$B39),"")</f>
        <v/>
      </c>
      <c r="J39" s="18" t="str">
        <f>IFERROR(AVERAGEIFS($F$11:$F$20,$C$11:$C$20,I$37,$D$11:$D$20,$B39),"")</f>
        <v/>
      </c>
      <c r="K39" s="17" t="str">
        <f>IFERROR(AVERAGEIFS($E$11:$E$20,$C$11:$C$20,K$37,$D$11:$D$20,$B39),"")</f>
        <v/>
      </c>
      <c r="L39" s="17" t="str">
        <f>IFERROR(AVERAGEIFS($F$11:$F$20,$C$11:$C$20,K$37,$D$11:$D$20,$B39),"")</f>
        <v/>
      </c>
      <c r="M39" s="18" t="str">
        <f>IFERROR(AVERAGEIFS($E$11:$E$20,$C$11:$C$20,M$37,$D$11:$D$20,$B39),"")</f>
        <v/>
      </c>
      <c r="N39" s="18" t="str">
        <f>IFERROR(AVERAGEIFS($F$11:$F$20,$C$11:$C$20,M$37,$D$11:$D$20,$B39),"")</f>
        <v/>
      </c>
    </row>
    <row r="40" spans="2:14" ht="15" customHeight="1">
      <c r="B40" s="43" t="s">
        <v>122</v>
      </c>
      <c r="C40" s="17" t="str">
        <f>IFERROR(AVERAGEIFS($E$11:$E$20,$C$11:$C$20,C$37,$D$11:$D$20,$B40),"")</f>
        <v/>
      </c>
      <c r="D40" s="17" t="str">
        <f>IFERROR(AVERAGEIFS($F$11:$F$20,$C$11:$C$20,C$37,$D$11:$D$20,$B40),"")</f>
        <v/>
      </c>
      <c r="E40" s="18" t="str">
        <f>IFERROR(AVERAGEIFS($E$11:$E$20,$C$11:$C$20,E$37,$D$11:$D$20,$B40),"")</f>
        <v/>
      </c>
      <c r="F40" s="18" t="str">
        <f>IFERROR(AVERAGEIFS($F$11:$F$20,$C$11:$C$20,E$37,$D$11:$D$20,$B40),"")</f>
        <v/>
      </c>
      <c r="G40" s="17" t="str">
        <f>IFERROR(AVERAGEIFS($E$11:$E$20,$C$11:$C$20,G$37,$D$11:$D$20,$B40),"")</f>
        <v/>
      </c>
      <c r="H40" s="17" t="str">
        <f>IFERROR(AVERAGEIFS($F$11:$F$20,$C$11:$C$20,G$37,$D$11:$D$20,$B40),"")</f>
        <v/>
      </c>
      <c r="I40" s="18" t="str">
        <f>IFERROR(AVERAGEIFS($E$11:$E$20,$C$11:$C$20,I$37,$D$11:$D$20,$B40),"")</f>
        <v/>
      </c>
      <c r="J40" s="18" t="str">
        <f>IFERROR(AVERAGEIFS($F$11:$F$20,$C$11:$C$20,I$37,$D$11:$D$20,$B40),"")</f>
        <v/>
      </c>
      <c r="K40" s="17">
        <f>IFERROR(AVERAGEIFS($E$11:$E$20,$C$11:$C$20,K$37,$D$11:$D$20,$B40),"")</f>
        <v>4</v>
      </c>
      <c r="L40" s="17" t="str">
        <f>IFERROR(AVERAGEIFS($F$11:$F$20,$C$11:$C$20,K$37,$D$11:$D$20,$B40),"")</f>
        <v/>
      </c>
      <c r="M40" s="18" t="str">
        <f>IFERROR(AVERAGEIFS($E$11:$E$20,$C$11:$C$20,M$37,$D$11:$D$20,$B40),"")</f>
        <v/>
      </c>
      <c r="N40" s="18" t="str">
        <f>IFERROR(AVERAGEIFS($F$11:$F$20,$C$11:$C$20,M$37,$D$11:$D$20,$B40),"")</f>
        <v/>
      </c>
    </row>
    <row r="41" spans="2:14" ht="15" customHeight="1">
      <c r="B41" s="43" t="s">
        <v>113</v>
      </c>
      <c r="C41" s="17">
        <f>IFERROR(AVERAGEIFS($E$11:$E$20,$C$11:$C$20,C$37,$D$11:$D$20,$B41),"")</f>
        <v>5</v>
      </c>
      <c r="D41" s="17" t="str">
        <f>IFERROR(AVERAGEIFS($F$11:$F$20,$C$11:$C$20,C$37,$D$11:$D$20,$B41),"")</f>
        <v/>
      </c>
      <c r="E41" s="18" t="str">
        <f>IFERROR(AVERAGEIFS($E$11:$E$20,$C$11:$C$20,E$37,$D$11:$D$20,$B41),"")</f>
        <v/>
      </c>
      <c r="F41" s="18" t="str">
        <f>IFERROR(AVERAGEIFS($F$11:$F$20,$C$11:$C$20,E$37,$D$11:$D$20,$B41),"")</f>
        <v/>
      </c>
      <c r="G41" s="17" t="str">
        <f>IFERROR(AVERAGEIFS($E$11:$E$20,$C$11:$C$20,G$37,$D$11:$D$20,$B41),"")</f>
        <v/>
      </c>
      <c r="H41" s="17" t="str">
        <f>IFERROR(AVERAGEIFS($F$11:$F$20,$C$11:$C$20,G$37,$D$11:$D$20,$B41),"")</f>
        <v/>
      </c>
      <c r="I41" s="18" t="str">
        <f>IFERROR(AVERAGEIFS($E$11:$E$20,$C$11:$C$20,I$37,$D$11:$D$20,$B41),"")</f>
        <v/>
      </c>
      <c r="J41" s="18" t="str">
        <f>IFERROR(AVERAGEIFS($F$11:$F$20,$C$11:$C$20,I$37,$D$11:$D$20,$B41),"")</f>
        <v/>
      </c>
      <c r="K41" s="17" t="str">
        <f>IFERROR(AVERAGEIFS($E$11:$E$20,$C$11:$C$20,K$37,$D$11:$D$20,$B41),"")</f>
        <v/>
      </c>
      <c r="L41" s="17" t="str">
        <f>IFERROR(AVERAGEIFS($F$11:$F$20,$C$11:$C$20,K$37,$D$11:$D$20,$B41),"")</f>
        <v/>
      </c>
      <c r="M41" s="18" t="str">
        <f>IFERROR(AVERAGEIFS($E$11:$E$20,$C$11:$C$20,M$37,$D$11:$D$20,$B41),"")</f>
        <v/>
      </c>
      <c r="N41" s="18" t="str">
        <f>IFERROR(AVERAGEIFS($F$11:$F$20,$C$11:$C$20,M$37,$D$11:$D$20,$B41),"")</f>
        <v/>
      </c>
    </row>
    <row r="42" spans="2:14" ht="15" customHeight="1">
      <c r="B42" s="43" t="s">
        <v>125</v>
      </c>
      <c r="C42" s="17" t="str">
        <f>IFERROR(AVERAGEIFS($E$11:$E$20,$C$11:$C$20,C$37,$D$11:$D$20,$B42),"")</f>
        <v/>
      </c>
      <c r="D42" s="17" t="str">
        <f>IFERROR(AVERAGEIFS($F$11:$F$20,$C$11:$C$20,C$37,$D$11:$D$20,$B42),"")</f>
        <v/>
      </c>
      <c r="E42" s="18" t="str">
        <f>IFERROR(AVERAGEIFS($E$11:$E$20,$C$11:$C$20,E$37,$D$11:$D$20,$B42),"")</f>
        <v/>
      </c>
      <c r="F42" s="18" t="str">
        <f>IFERROR(AVERAGEIFS($F$11:$F$20,$C$11:$C$20,E$37,$D$11:$D$20,$B42),"")</f>
        <v/>
      </c>
      <c r="G42" s="17" t="str">
        <f>IFERROR(AVERAGEIFS($E$11:$E$20,$C$11:$C$20,G$37,$D$11:$D$20,$B42),"")</f>
        <v/>
      </c>
      <c r="H42" s="17" t="str">
        <f>IFERROR(AVERAGEIFS($F$11:$F$20,$C$11:$C$20,G$37,$D$11:$D$20,$B42),"")</f>
        <v/>
      </c>
      <c r="I42" s="18" t="str">
        <f>IFERROR(AVERAGEIFS($E$11:$E$20,$C$11:$C$20,I$37,$D$11:$D$20,$B42),"")</f>
        <v/>
      </c>
      <c r="J42" s="18" t="str">
        <f>IFERROR(AVERAGEIFS($F$11:$F$20,$C$11:$C$20,I$37,$D$11:$D$20,$B42),"")</f>
        <v/>
      </c>
      <c r="K42" s="17" t="str">
        <f>IFERROR(AVERAGEIFS($E$11:$E$20,$C$11:$C$20,K$37,$D$11:$D$20,$B42),"")</f>
        <v/>
      </c>
      <c r="L42" s="17" t="str">
        <f>IFERROR(AVERAGEIFS($F$11:$F$20,$C$11:$C$20,K$37,$D$11:$D$20,$B42),"")</f>
        <v/>
      </c>
      <c r="M42" s="18" t="str">
        <f>IFERROR(AVERAGEIFS($E$11:$E$20,$C$11:$C$20,M$37,$D$11:$D$20,$B42),"")</f>
        <v/>
      </c>
      <c r="N42" s="18">
        <f>IFERROR(AVERAGEIFS($F$11:$F$20,$C$11:$C$20,M$37,$D$11:$D$20,$B42),"")</f>
        <v>4</v>
      </c>
    </row>
    <row r="43" spans="2:14" ht="15" customHeight="1">
      <c r="B43" s="43" t="s">
        <v>131</v>
      </c>
      <c r="C43" s="17" t="str">
        <f>IFERROR(AVERAGEIFS($E$11:$E$20,$C$11:$C$20,C$37,$D$11:$D$20,$B43),"")</f>
        <v/>
      </c>
      <c r="D43" s="17" t="str">
        <f>IFERROR(AVERAGEIFS($F$11:$F$20,$C$11:$C$20,C$37,$D$11:$D$20,$B43),"")</f>
        <v/>
      </c>
      <c r="E43" s="18" t="str">
        <f>IFERROR(AVERAGEIFS($E$11:$E$20,$C$11:$C$20,E$37,$D$11:$D$20,$B43),"")</f>
        <v/>
      </c>
      <c r="F43" s="18" t="str">
        <f>IFERROR(AVERAGEIFS($F$11:$F$20,$C$11:$C$20,E$37,$D$11:$D$20,$B43),"")</f>
        <v/>
      </c>
      <c r="G43" s="17" t="str">
        <f>IFERROR(AVERAGEIFS($E$11:$E$20,$C$11:$C$20,G$37,$D$11:$D$20,$B43),"")</f>
        <v/>
      </c>
      <c r="H43" s="17" t="str">
        <f>IFERROR(AVERAGEIFS($F$11:$F$20,$C$11:$C$20,G$37,$D$11:$D$20,$B43),"")</f>
        <v/>
      </c>
      <c r="I43" s="18" t="str">
        <f>IFERROR(AVERAGEIFS($E$11:$E$20,$C$11:$C$20,I$37,$D$11:$D$20,$B43),"")</f>
        <v/>
      </c>
      <c r="J43" s="18" t="str">
        <f>IFERROR(AVERAGEIFS($F$11:$F$20,$C$11:$C$20,I$37,$D$11:$D$20,$B43),"")</f>
        <v/>
      </c>
      <c r="K43" s="17" t="str">
        <f>IFERROR(AVERAGEIFS($E$11:$E$20,$C$11:$C$20,K$37,$D$11:$D$20,$B43),"")</f>
        <v/>
      </c>
      <c r="L43" s="17" t="str">
        <f>IFERROR(AVERAGEIFS($F$11:$F$20,$C$11:$C$20,K$37,$D$11:$D$20,$B43),"")</f>
        <v/>
      </c>
      <c r="M43" s="18" t="str">
        <f>IFERROR(AVERAGEIFS($E$11:$E$20,$C$11:$C$20,M$37,$D$11:$D$20,$B43),"")</f>
        <v/>
      </c>
      <c r="N43" s="18" t="str">
        <f>IFERROR(AVERAGEIFS($F$11:$F$20,$C$11:$C$20,M$37,$D$11:$D$20,$B43),"")</f>
        <v/>
      </c>
    </row>
    <row r="44" spans="2:14" ht="15" customHeight="1">
      <c r="B44" s="43" t="s">
        <v>154</v>
      </c>
      <c r="C44" s="17" t="str">
        <f>IFERROR(AVERAGEIFS($E$11:$E$20,$C$11:$C$20,C$37,$D$11:$D$20,$B44),"")</f>
        <v/>
      </c>
      <c r="D44" s="17" t="str">
        <f>IFERROR(AVERAGEIFS($F$11:$F$20,$C$11:$C$20,C$37,$D$11:$D$20,$B44),"")</f>
        <v/>
      </c>
      <c r="E44" s="18" t="str">
        <f>IFERROR(AVERAGEIFS($E$11:$E$20,$C$11:$C$20,E$37,$D$11:$D$20,$B44),"")</f>
        <v/>
      </c>
      <c r="F44" s="18" t="str">
        <f>IFERROR(AVERAGEIFS($F$11:$F$20,$C$11:$C$20,E$37,$D$11:$D$20,$B44),"")</f>
        <v/>
      </c>
      <c r="G44" s="17" t="str">
        <f>IFERROR(AVERAGEIFS($E$11:$E$20,$C$11:$C$20,G$37,$D$11:$D$20,$B44),"")</f>
        <v/>
      </c>
      <c r="H44" s="17" t="str">
        <f>IFERROR(AVERAGEIFS($F$11:$F$20,$C$11:$C$20,G$37,$D$11:$D$20,$B44),"")</f>
        <v/>
      </c>
      <c r="I44" s="18" t="str">
        <f>IFERROR(AVERAGEIFS($E$11:$E$20,$C$11:$C$20,I$37,$D$11:$D$20,$B44),"")</f>
        <v/>
      </c>
      <c r="J44" s="18" t="str">
        <f>IFERROR(AVERAGEIFS($F$11:$F$20,$C$11:$C$20,I$37,$D$11:$D$20,$B44),"")</f>
        <v/>
      </c>
      <c r="K44" s="17" t="str">
        <f>IFERROR(AVERAGEIFS($E$11:$E$20,$C$11:$C$20,K$37,$D$11:$D$20,$B44),"")</f>
        <v/>
      </c>
      <c r="L44" s="17" t="str">
        <f>IFERROR(AVERAGEIFS($F$11:$F$20,$C$11:$C$20,K$37,$D$11:$D$20,$B44),"")</f>
        <v/>
      </c>
      <c r="M44" s="18" t="str">
        <f>IFERROR(AVERAGEIFS($E$11:$E$20,$C$11:$C$20,M$37,$D$11:$D$20,$B44),"")</f>
        <v/>
      </c>
      <c r="N44" s="18" t="str">
        <f>IFERROR(AVERAGEIFS($F$11:$F$20,$C$11:$C$20,M$37,$D$11:$D$20,$B44),"")</f>
        <v/>
      </c>
    </row>
    <row r="45" spans="2:14" ht="15" customHeight="1">
      <c r="B45" s="43" t="s">
        <v>155</v>
      </c>
      <c r="C45" s="17" t="str">
        <f>IFERROR(AVERAGEIFS($E$11:$E$20,$C$11:$C$20,C$37,$D$11:$D$20,$B45),"")</f>
        <v/>
      </c>
      <c r="D45" s="17" t="str">
        <f>IFERROR(AVERAGEIFS($F$11:$F$20,$C$11:$C$20,C$37,$D$11:$D$20,$B45),"")</f>
        <v/>
      </c>
      <c r="E45" s="18" t="str">
        <f>IFERROR(AVERAGEIFS($E$11:$E$20,$C$11:$C$20,E$37,$D$11:$D$20,$B45),"")</f>
        <v/>
      </c>
      <c r="F45" s="18" t="str">
        <f>IFERROR(AVERAGEIFS($F$11:$F$20,$C$11:$C$20,E$37,$D$11:$D$20,$B45),"")</f>
        <v/>
      </c>
      <c r="G45" s="17" t="str">
        <f>IFERROR(AVERAGEIFS($E$11:$E$20,$C$11:$C$20,G$37,$D$11:$D$20,$B45),"")</f>
        <v/>
      </c>
      <c r="H45" s="17" t="str">
        <f>IFERROR(AVERAGEIFS($F$11:$F$20,$C$11:$C$20,G$37,$D$11:$D$20,$B45),"")</f>
        <v/>
      </c>
      <c r="I45" s="18" t="str">
        <f>IFERROR(AVERAGEIFS($E$11:$E$20,$C$11:$C$20,I$37,$D$11:$D$20,$B45),"")</f>
        <v/>
      </c>
      <c r="J45" s="18" t="str">
        <f>IFERROR(AVERAGEIFS($F$11:$F$20,$C$11:$C$20,I$37,$D$11:$D$20,$B45),"")</f>
        <v/>
      </c>
      <c r="K45" s="17" t="str">
        <f>IFERROR(AVERAGEIFS($E$11:$E$20,$C$11:$C$20,K$37,$D$11:$D$20,$B45),"")</f>
        <v/>
      </c>
      <c r="L45" s="17" t="str">
        <f>IFERROR(AVERAGEIFS($F$11:$F$20,$C$11:$C$20,K$37,$D$11:$D$20,$B45),"")</f>
        <v/>
      </c>
      <c r="M45" s="18" t="str">
        <f>IFERROR(AVERAGEIFS($E$11:$E$20,$C$11:$C$20,M$37,$D$11:$D$20,$B45),"")</f>
        <v/>
      </c>
      <c r="N45" s="18" t="str">
        <f>IFERROR(AVERAGEIFS($F$11:$F$20,$C$11:$C$20,M$37,$D$11:$D$20,$B45),"")</f>
        <v/>
      </c>
    </row>
    <row r="46" spans="2:14" ht="15" customHeight="1">
      <c r="B46" s="43" t="s">
        <v>119</v>
      </c>
      <c r="C46" s="17" t="str">
        <f>IFERROR(AVERAGEIFS($E$11:$E$20,$C$11:$C$20,C$37,$D$11:$D$20,$B46),"")</f>
        <v/>
      </c>
      <c r="D46" s="17" t="str">
        <f>IFERROR(AVERAGEIFS($F$11:$F$20,$C$11:$C$20,C$37,$D$11:$D$20,$B46),"")</f>
        <v/>
      </c>
      <c r="E46" s="18" t="str">
        <f>IFERROR(AVERAGEIFS($E$11:$E$20,$C$11:$C$20,E$37,$D$11:$D$20,$B46),"")</f>
        <v/>
      </c>
      <c r="F46" s="18" t="str">
        <f>IFERROR(AVERAGEIFS($F$11:$F$20,$C$11:$C$20,E$37,$D$11:$D$20,$B46),"")</f>
        <v/>
      </c>
      <c r="G46" s="17" t="str">
        <f>IFERROR(AVERAGEIFS($E$11:$E$20,$C$11:$C$20,G$37,$D$11:$D$20,$B46),"")</f>
        <v/>
      </c>
      <c r="H46" s="17" t="str">
        <f>IFERROR(AVERAGEIFS($F$11:$F$20,$C$11:$C$20,G$37,$D$11:$D$20,$B46),"")</f>
        <v/>
      </c>
      <c r="I46" s="18" t="str">
        <f>IFERROR(AVERAGEIFS($E$11:$E$20,$C$11:$C$20,I$37,$D$11:$D$20,$B46),"")</f>
        <v/>
      </c>
      <c r="J46" s="18">
        <f>IFERROR(AVERAGEIFS($F$11:$F$20,$C$11:$C$20,I$37,$D$11:$D$20,$B46),"")</f>
        <v>3</v>
      </c>
      <c r="K46" s="17" t="str">
        <f>IFERROR(AVERAGEIFS($E$11:$E$20,$C$11:$C$20,K$37,$D$11:$D$20,$B46),"")</f>
        <v/>
      </c>
      <c r="L46" s="17" t="str">
        <f>IFERROR(AVERAGEIFS($F$11:$F$20,$C$11:$C$20,K$37,$D$11:$D$20,$B46),"")</f>
        <v/>
      </c>
      <c r="M46" s="18" t="str">
        <f>IFERROR(AVERAGEIFS($E$11:$E$20,$C$11:$C$20,M$37,$D$11:$D$20,$B46),"")</f>
        <v/>
      </c>
      <c r="N46" s="18" t="str">
        <f>IFERROR(AVERAGEIFS($F$11:$F$20,$C$11:$C$20,M$37,$D$11:$D$20,$B46),"")</f>
        <v/>
      </c>
    </row>
    <row r="47" spans="2:14" ht="15" customHeight="1">
      <c r="B47" s="43" t="s">
        <v>156</v>
      </c>
      <c r="C47" s="17" t="str">
        <f>IFERROR(AVERAGEIFS($E$11:$E$20,$C$11:$C$20,C$37,$D$11:$D$20,$B47),"")</f>
        <v/>
      </c>
      <c r="D47" s="17" t="str">
        <f>IFERROR(AVERAGEIFS($F$11:$F$20,$C$11:$C$20,C$37,$D$11:$D$20,$B47),"")</f>
        <v/>
      </c>
      <c r="E47" s="18" t="str">
        <f>IFERROR(AVERAGEIFS($E$11:$E$20,$C$11:$C$20,E$37,$D$11:$D$20,$B47),"")</f>
        <v/>
      </c>
      <c r="F47" s="18" t="str">
        <f>IFERROR(AVERAGEIFS($F$11:$F$20,$C$11:$C$20,E$37,$D$11:$D$20,$B47),"")</f>
        <v/>
      </c>
      <c r="G47" s="17" t="str">
        <f>IFERROR(AVERAGEIFS($E$11:$E$20,$C$11:$C$20,G$37,$D$11:$D$20,$B47),"")</f>
        <v/>
      </c>
      <c r="H47" s="17" t="str">
        <f>IFERROR(AVERAGEIFS($F$11:$F$20,$C$11:$C$20,G$37,$D$11:$D$20,$B47),"")</f>
        <v/>
      </c>
      <c r="I47" s="18" t="str">
        <f>IFERROR(AVERAGEIFS($E$11:$E$20,$C$11:$C$20,I$37,$D$11:$D$20,$B47),"")</f>
        <v/>
      </c>
      <c r="J47" s="18" t="str">
        <f>IFERROR(AVERAGEIFS($F$11:$F$20,$C$11:$C$20,I$37,$D$11:$D$20,$B47),"")</f>
        <v/>
      </c>
      <c r="K47" s="17" t="str">
        <f>IFERROR(AVERAGEIFS($E$11:$E$20,$C$11:$C$20,K$37,$D$11:$D$20,$B47),"")</f>
        <v/>
      </c>
      <c r="L47" s="17" t="str">
        <f>IFERROR(AVERAGEIFS($F$11:$F$20,$C$11:$C$20,K$37,$D$11:$D$20,$B47),"")</f>
        <v/>
      </c>
      <c r="M47" s="18" t="str">
        <f>IFERROR(AVERAGEIFS($E$11:$E$20,$C$11:$C$20,M$37,$D$11:$D$20,$B47),"")</f>
        <v/>
      </c>
      <c r="N47" s="18" t="str">
        <f>IFERROR(AVERAGEIFS($F$11:$F$20,$C$11:$C$20,M$37,$D$11:$D$20,$B47),"")</f>
        <v/>
      </c>
    </row>
    <row r="48" spans="2:14" ht="15" customHeight="1">
      <c r="B48" s="43" t="s">
        <v>116</v>
      </c>
      <c r="C48" s="17" t="str">
        <f>IFERROR(AVERAGEIFS($E$11:$E$20,$C$11:$C$20,C$37,$D$11:$D$20,$B48),"")</f>
        <v/>
      </c>
      <c r="D48" s="17" t="str">
        <f>IFERROR(AVERAGEIFS($F$11:$F$20,$C$11:$C$20,C$37,$D$11:$D$20,$B48),"")</f>
        <v/>
      </c>
      <c r="E48" s="18" t="str">
        <f>IFERROR(AVERAGEIFS($E$11:$E$20,$C$11:$C$20,E$37,$D$11:$D$20,$B48),"")</f>
        <v/>
      </c>
      <c r="F48" s="18" t="str">
        <f>IFERROR(AVERAGEIFS($F$11:$F$20,$C$11:$C$20,E$37,$D$11:$D$20,$B48),"")</f>
        <v/>
      </c>
      <c r="G48" s="17" t="str">
        <f>IFERROR(AVERAGEIFS($E$11:$E$20,$C$11:$C$20,G$37,$D$11:$D$20,$B48),"")</f>
        <v/>
      </c>
      <c r="H48" s="17">
        <f>IFERROR(AVERAGEIFS($F$11:$F$20,$C$11:$C$20,G$37,$D$11:$D$20,$B48),"")</f>
        <v>4</v>
      </c>
      <c r="I48" s="18" t="str">
        <f>IFERROR(AVERAGEIFS($E$11:$E$20,$C$11:$C$20,I$37,$D$11:$D$20,$B48),"")</f>
        <v/>
      </c>
      <c r="J48" s="18" t="str">
        <f>IFERROR(AVERAGEIFS($F$11:$F$20,$C$11:$C$20,I$37,$D$11:$D$20,$B48),"")</f>
        <v/>
      </c>
      <c r="K48" s="17" t="str">
        <f>IFERROR(AVERAGEIFS($E$11:$E$20,$C$11:$C$20,K$37,$D$11:$D$20,$B48),"")</f>
        <v/>
      </c>
      <c r="L48" s="17" t="str">
        <f>IFERROR(AVERAGEIFS($F$11:$F$20,$C$11:$C$20,K$37,$D$11:$D$20,$B48),"")</f>
        <v/>
      </c>
      <c r="M48" s="18" t="str">
        <f>IFERROR(AVERAGEIFS($E$11:$E$20,$C$11:$C$20,M$37,$D$11:$D$20,$B48),"")</f>
        <v/>
      </c>
      <c r="N48" s="18" t="str">
        <f>IFERROR(AVERAGEIFS($F$11:$F$20,$C$11:$C$20,M$37,$D$11:$D$20,$B48),"")</f>
        <v/>
      </c>
    </row>
    <row r="49" spans="2:14" ht="15" customHeight="1">
      <c r="B49" s="43" t="s">
        <v>157</v>
      </c>
      <c r="C49" s="17" t="str">
        <f>IFERROR(AVERAGEIFS($E$11:$E$20,$C$11:$C$20,C$37,$D$11:$D$20,$B49),"")</f>
        <v/>
      </c>
      <c r="D49" s="17" t="str">
        <f>IFERROR(AVERAGEIFS($F$11:$F$20,$C$11:$C$20,C$37,$D$11:$D$20,$B49),"")</f>
        <v/>
      </c>
      <c r="E49" s="18" t="str">
        <f>IFERROR(AVERAGEIFS($E$11:$E$20,$C$11:$C$20,E$37,$D$11:$D$20,$B49),"")</f>
        <v/>
      </c>
      <c r="F49" s="18" t="str">
        <f>IFERROR(AVERAGEIFS($F$11:$F$20,$C$11:$C$20,E$37,$D$11:$D$20,$B49),"")</f>
        <v/>
      </c>
      <c r="G49" s="17" t="str">
        <f>IFERROR(AVERAGEIFS($E$11:$E$20,$C$11:$C$20,G$37,$D$11:$D$20,$B49),"")</f>
        <v/>
      </c>
      <c r="H49" s="17" t="str">
        <f>IFERROR(AVERAGEIFS($F$11:$F$20,$C$11:$C$20,G$37,$D$11:$D$20,$B49),"")</f>
        <v/>
      </c>
      <c r="I49" s="18" t="str">
        <f>IFERROR(AVERAGEIFS($E$11:$E$20,$C$11:$C$20,I$37,$D$11:$D$20,$B49),"")</f>
        <v/>
      </c>
      <c r="J49" s="18" t="str">
        <f>IFERROR(AVERAGEIFS($F$11:$F$20,$C$11:$C$20,I$37,$D$11:$D$20,$B49),"")</f>
        <v/>
      </c>
      <c r="K49" s="17" t="str">
        <f>IFERROR(AVERAGEIFS($E$11:$E$20,$C$11:$C$20,K$37,$D$11:$D$20,$B49),"")</f>
        <v/>
      </c>
      <c r="L49" s="17" t="str">
        <f>IFERROR(AVERAGEIFS($F$11:$F$20,$C$11:$C$20,K$37,$D$11:$D$20,$B49),"")</f>
        <v/>
      </c>
      <c r="M49" s="18" t="str">
        <f>IFERROR(AVERAGEIFS($E$11:$E$20,$C$11:$C$20,M$37,$D$11:$D$20,$B49),"")</f>
        <v/>
      </c>
      <c r="N49" s="18" t="str">
        <f>IFERROR(AVERAGEIFS($F$11:$F$20,$C$11:$C$20,M$37,$D$11:$D$20,$B49),"")</f>
        <v/>
      </c>
    </row>
    <row r="50" spans="2:14" ht="15" customHeight="1">
      <c r="B50" s="43" t="s">
        <v>158</v>
      </c>
      <c r="C50" s="17" t="str">
        <f>IFERROR(AVERAGEIFS($E$11:$E$20,$C$11:$C$20,C$37,$D$11:$D$20,$B50),"")</f>
        <v/>
      </c>
      <c r="D50" s="17" t="str">
        <f>IFERROR(AVERAGEIFS($F$11:$F$20,$C$11:$C$20,C$37,$D$11:$D$20,$B50),"")</f>
        <v/>
      </c>
      <c r="E50" s="18" t="str">
        <f>IFERROR(AVERAGEIFS($E$11:$E$20,$C$11:$C$20,E$37,$D$11:$D$20,$B50),"")</f>
        <v/>
      </c>
      <c r="F50" s="18" t="str">
        <f>IFERROR(AVERAGEIFS($F$11:$F$20,$C$11:$C$20,E$37,$D$11:$D$20,$B50),"")</f>
        <v/>
      </c>
      <c r="G50" s="17" t="str">
        <f>IFERROR(AVERAGEIFS($E$11:$E$20,$C$11:$C$20,G$37,$D$11:$D$20,$B50),"")</f>
        <v/>
      </c>
      <c r="H50" s="17" t="str">
        <f>IFERROR(AVERAGEIFS($F$11:$F$20,$C$11:$C$20,G$37,$D$11:$D$20,$B50),"")</f>
        <v/>
      </c>
      <c r="I50" s="18" t="str">
        <f>IFERROR(AVERAGEIFS($E$11:$E$20,$C$11:$C$20,I$37,$D$11:$D$20,$B50),"")</f>
        <v/>
      </c>
      <c r="J50" s="18" t="str">
        <f>IFERROR(AVERAGEIFS($F$11:$F$20,$C$11:$C$20,I$37,$D$11:$D$20,$B50),"")</f>
        <v/>
      </c>
      <c r="K50" s="17" t="str">
        <f>IFERROR(AVERAGEIFS($E$11:$E$20,$C$11:$C$20,K$37,$D$11:$D$20,$B50),"")</f>
        <v/>
      </c>
      <c r="L50" s="17" t="str">
        <f>IFERROR(AVERAGEIFS($F$11:$F$20,$C$11:$C$20,K$37,$D$11:$D$20,$B50),"")</f>
        <v/>
      </c>
      <c r="M50" s="18" t="str">
        <f>IFERROR(AVERAGEIFS($E$11:$E$20,$C$11:$C$20,M$37,$D$11:$D$20,$B50),"")</f>
        <v/>
      </c>
      <c r="N50" s="18" t="str">
        <f>IFERROR(AVERAGEIFS($F$11:$F$20,$C$11:$C$20,M$37,$D$11:$D$20,$B50),"")</f>
        <v/>
      </c>
    </row>
    <row r="51" spans="2:14" ht="14.25" customHeight="1">
      <c r="B51" s="44"/>
      <c r="C51" s="75" t="s">
        <v>159</v>
      </c>
      <c r="D51" s="93"/>
      <c r="E51" s="93"/>
      <c r="F51" s="93"/>
      <c r="G51" s="93"/>
      <c r="H51" s="93"/>
      <c r="I51" s="93"/>
      <c r="J51" s="93"/>
      <c r="K51" s="93"/>
      <c r="L51" s="93"/>
      <c r="M51" s="93"/>
      <c r="N51" s="93"/>
    </row>
    <row r="1048576" ht="15" customHeight="1"/>
  </sheetData>
  <mergeCells count="58">
    <mergeCell ref="I32:N32"/>
    <mergeCell ref="J5:K5"/>
    <mergeCell ref="C22:H22"/>
    <mergeCell ref="I22:N22"/>
    <mergeCell ref="I28:N28"/>
    <mergeCell ref="L5:N5"/>
    <mergeCell ref="G11:N11"/>
    <mergeCell ref="C31:H31"/>
    <mergeCell ref="C7:I7"/>
    <mergeCell ref="G17:N17"/>
    <mergeCell ref="J6:K6"/>
    <mergeCell ref="C27:H27"/>
    <mergeCell ref="C51:N51"/>
    <mergeCell ref="C23:H23"/>
    <mergeCell ref="G19:N19"/>
    <mergeCell ref="I23:N23"/>
    <mergeCell ref="G37:H37"/>
    <mergeCell ref="C6:I6"/>
    <mergeCell ref="C8:N8"/>
    <mergeCell ref="G10:N10"/>
    <mergeCell ref="I37:J37"/>
    <mergeCell ref="G13:N13"/>
    <mergeCell ref="L6:N6"/>
    <mergeCell ref="C25:H25"/>
    <mergeCell ref="I25:N25"/>
    <mergeCell ref="G12:N12"/>
    <mergeCell ref="B37:B38"/>
    <mergeCell ref="C5:I5"/>
    <mergeCell ref="I29:N29"/>
    <mergeCell ref="G18:N18"/>
    <mergeCell ref="C32:H32"/>
    <mergeCell ref="C28:H28"/>
    <mergeCell ref="M37:N37"/>
    <mergeCell ref="G15:N15"/>
    <mergeCell ref="J7:K7"/>
    <mergeCell ref="I31:N31"/>
    <mergeCell ref="G14:N14"/>
    <mergeCell ref="C34:H34"/>
    <mergeCell ref="I34:N34"/>
    <mergeCell ref="C37:D37"/>
    <mergeCell ref="E37:F37"/>
    <mergeCell ref="K37:L37"/>
    <mergeCell ref="B2:N2"/>
    <mergeCell ref="C30:H30"/>
    <mergeCell ref="I30:N30"/>
    <mergeCell ref="L7:N7"/>
    <mergeCell ref="C33:H33"/>
    <mergeCell ref="C24:H24"/>
    <mergeCell ref="G20:N20"/>
    <mergeCell ref="I27:N27"/>
    <mergeCell ref="G16:N16"/>
    <mergeCell ref="I26:N26"/>
    <mergeCell ref="C26:H26"/>
    <mergeCell ref="C29:H29"/>
    <mergeCell ref="B22:B34"/>
    <mergeCell ref="C4:N4"/>
    <mergeCell ref="I33:N33"/>
    <mergeCell ref="I24:N24"/>
  </mergeCells>
  <conditionalFormatting sqref="C24">
    <cfRule type="expression" dxfId="17" priority="2">
      <formula>COUNTIFS($C$11:$C$20,"A2")&gt;0</formula>
    </cfRule>
  </conditionalFormatting>
  <conditionalFormatting sqref="C25">
    <cfRule type="expression" dxfId="16" priority="3">
      <formula>COUNTIFS($C$11:$C$20,"A3")&gt;0</formula>
    </cfRule>
  </conditionalFormatting>
  <conditionalFormatting sqref="C26">
    <cfRule type="expression" dxfId="15" priority="4">
      <formula>COUNTIFS($C$11:$C$20,"A4")&gt;0</formula>
    </cfRule>
  </conditionalFormatting>
  <conditionalFormatting sqref="C27">
    <cfRule type="expression" dxfId="14" priority="5">
      <formula>COUNTIFS($C$11:$C$20,"A5")&gt;0</formula>
    </cfRule>
  </conditionalFormatting>
  <conditionalFormatting sqref="C28">
    <cfRule type="expression" dxfId="13" priority="6">
      <formula>COUNTIFS($C$11:$C$20,"A6")&gt;0</formula>
    </cfRule>
  </conditionalFormatting>
  <conditionalFormatting sqref="C23:H23">
    <cfRule type="expression" dxfId="12" priority="7">
      <formula>COUNTIFS($C$11:$C$20,"A1")&gt;0</formula>
    </cfRule>
  </conditionalFormatting>
  <conditionalFormatting sqref="I23">
    <cfRule type="expression" dxfId="11" priority="8">
      <formula>COUNTIFS($D$11:$D$20,"B1")&gt;0</formula>
    </cfRule>
  </conditionalFormatting>
  <conditionalFormatting sqref="I24">
    <cfRule type="expression" dxfId="10" priority="9">
      <formula>COUNTIFS($D$11:$D$20,"B2")&gt;0</formula>
    </cfRule>
  </conditionalFormatting>
  <conditionalFormatting sqref="I25">
    <cfRule type="expression" dxfId="9" priority="10">
      <formula>COUNTIFS($D$11:$D$20,"B3")&gt;0</formula>
    </cfRule>
  </conditionalFormatting>
  <conditionalFormatting sqref="I26">
    <cfRule type="expression" dxfId="8" priority="11">
      <formula>COUNTIFS($D$11:$D$20,"B4")&gt;0</formula>
    </cfRule>
  </conditionalFormatting>
  <conditionalFormatting sqref="I27">
    <cfRule type="expression" dxfId="7" priority="12">
      <formula>COUNTIFS($D$11:$D$20,"B5")&gt;0</formula>
    </cfRule>
  </conditionalFormatting>
  <conditionalFormatting sqref="I28">
    <cfRule type="expression" dxfId="6" priority="13">
      <formula>COUNTIFS($D$11:$D$20,"B6")&gt;0</formula>
    </cfRule>
  </conditionalFormatting>
  <conditionalFormatting sqref="I29">
    <cfRule type="expression" dxfId="5" priority="14">
      <formula>COUNTIFS($D$11:$D$20,"B7")&gt;0</formula>
    </cfRule>
  </conditionalFormatting>
  <conditionalFormatting sqref="I30">
    <cfRule type="expression" dxfId="4" priority="15">
      <formula>COUNTIFS($D$11:$D$20,"B8")&gt;0</formula>
    </cfRule>
  </conditionalFormatting>
  <conditionalFormatting sqref="I31">
    <cfRule type="expression" dxfId="3" priority="16">
      <formula>COUNTIFS($D$11:$D$20,"B9")&gt;0</formula>
    </cfRule>
  </conditionalFormatting>
  <conditionalFormatting sqref="I32">
    <cfRule type="expression" dxfId="2" priority="17">
      <formula>COUNTIFS($D$11:$D$20,"B10")&gt;0</formula>
    </cfRule>
  </conditionalFormatting>
  <conditionalFormatting sqref="I33">
    <cfRule type="expression" dxfId="1" priority="18">
      <formula>COUNTIFS($D$11:$D$20,"B11")&gt;0</formula>
    </cfRule>
  </conditionalFormatting>
  <conditionalFormatting sqref="I34">
    <cfRule type="expression" dxfId="0" priority="19">
      <formula>COUNTIFS($D$11:$D$20,"B12")&gt;0</formula>
    </cfRule>
  </conditionalFormatting>
  <printOptions horizontalCentered="1"/>
  <pageMargins left="0.25" right="0.25"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cd92f4-3c66-4744-9aff-7656b992d38d">
      <Terms xmlns="http://schemas.microsoft.com/office/infopath/2007/PartnerControls"/>
    </lcf76f155ced4ddcb4097134ff3c332f>
    <TaxCatchAll xmlns="5e72814a-0ba9-471c-b888-921f70a47715" xsi:nil="true"/>
    <SpacetouploadMoM xmlns="d1cd92f4-3c66-4744-9aff-7656b992d38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4C85D4365AAB49B46BFA8E36436B78" ma:contentTypeVersion="20" ma:contentTypeDescription="Create a new document." ma:contentTypeScope="" ma:versionID="600a1c349b26aab6cd9af8354823b6e0">
  <xsd:schema xmlns:xsd="http://www.w3.org/2001/XMLSchema" xmlns:xs="http://www.w3.org/2001/XMLSchema" xmlns:p="http://schemas.microsoft.com/office/2006/metadata/properties" xmlns:ns2="d1cd92f4-3c66-4744-9aff-7656b992d38d" xmlns:ns3="5e72814a-0ba9-471c-b888-921f70a47715" targetNamespace="http://schemas.microsoft.com/office/2006/metadata/properties" ma:root="true" ma:fieldsID="107faacb6a8b53c1d63430a1a63f0435" ns2:_="" ns3:_="">
    <xsd:import namespace="d1cd92f4-3c66-4744-9aff-7656b992d38d"/>
    <xsd:import namespace="5e72814a-0ba9-471c-b888-921f70a477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SpacetouploadMoM" minOccurs="0"/>
                <xsd:element ref="ns2:lcf76f155ced4ddcb4097134ff3c332f" minOccurs="0"/>
                <xsd:element ref="ns3:TaxCatchAll"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cd92f4-3c66-4744-9aff-7656b992d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SpacetouploadMoM" ma:index="18" nillable="true" ma:displayName="Space to upload MoM" ma:format="Dropdown" ma:internalName="SpacetouploadMoM">
      <xsd:simpleType>
        <xsd:restriction base="dms:Text">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5275afd-c2aa-4474-ba66-cc51c139b42f"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72814a-0ba9-471c-b888-921f70a4771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42e19f4-f9ee-4772-a81c-41a599c1d4f8}" ma:internalName="TaxCatchAll" ma:showField="CatchAllData" ma:web="5e72814a-0ba9-471c-b888-921f70a47715">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B439A9-CBBB-45AB-A423-C612A9894ECD}"/>
</file>

<file path=customXml/itemProps2.xml><?xml version="1.0" encoding="utf-8"?>
<ds:datastoreItem xmlns:ds="http://schemas.openxmlformats.org/officeDocument/2006/customXml" ds:itemID="{DA292FA7-C6ED-44A0-A36C-BE87F4E636C5}"/>
</file>

<file path=customXml/itemProps3.xml><?xml version="1.0" encoding="utf-8"?>
<ds:datastoreItem xmlns:ds="http://schemas.openxmlformats.org/officeDocument/2006/customXml" ds:itemID="{4671E6F4-0DF7-4239-AB67-C37E680E86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 Jonveaux</dc:creator>
  <cp:keywords/>
  <dc:description/>
  <cp:lastModifiedBy>María Victoria Fernández Áñez</cp:lastModifiedBy>
  <cp:revision>13</cp:revision>
  <dcterms:created xsi:type="dcterms:W3CDTF">2023-12-23T11:37:17Z</dcterms:created>
  <dcterms:modified xsi:type="dcterms:W3CDTF">2025-02-10T16:54:22Z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0x010100144C85D4365AAB49B46BFA8E36436B78</vt:lpwstr>
  </property>
  <property fmtid="{D5CDD505-2E9C-101B-9397-08002B2CF9AE}" pid="3" name="TaxKeyword">
    <vt:lpwstr/>
  </property>
  <property fmtid="{D5CDD505-2E9C-101B-9397-08002B2CF9AE}" pid="4" name="_dlc_DocIdItemGuid">
    <vt:lpwstr>5fb75e6f-eab8-47de-b779-6ff7a9fe705a</vt:lpwstr>
  </property>
  <property fmtid="{D5CDD505-2E9C-101B-9397-08002B2CF9AE}" pid="5" name="MediaServiceImageTags">
    <vt:lpwstr/>
  </property>
</Properties>
</file>