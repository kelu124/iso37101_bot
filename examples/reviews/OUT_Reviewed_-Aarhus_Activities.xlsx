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xr:revisionPtr revIDLastSave="0" documentId="11_5D531F7154EE2DF708D2D5C2C953D3E90D7D9478" xr6:coauthVersionLast="47" xr6:coauthVersionMax="47" xr10:uidLastSave="{00000000-0000-0000-0000-000000000000}"/>
  <bookViews>
    <workbookView xWindow="0" yWindow="0" windowWidth="16384" windowHeight="8192" tabRatio="500" xr2:uid="{00000000-000D-0000-FFFF-FFFF00000000}"/>
  </bookViews>
  <sheets>
    <sheet name="Cover" sheetId="1" r:id="rId1"/>
    <sheet name="HowTo" sheetId="2" r:id="rId2"/>
    <sheet name="Definitions" sheetId="3" r:id="rId3"/>
    <sheet name="1ae03038ed69" sheetId="4" r:id="rId4"/>
    <sheet name="1572eb063e5c" sheetId="5" r:id="rId5"/>
    <sheet name="b6ea66d78823" sheetId="6" r:id="rId6"/>
    <sheet name="6d8dcb722ca4" sheetId="7" r:id="rId7"/>
    <sheet name="9306b30af184" sheetId="8" r:id="rId8"/>
    <sheet name="3b760aaeab13" sheetId="9" r:id="rId9"/>
    <sheet name="b2f4402deaee" sheetId="10" r:id="rId10"/>
    <sheet name="1c4d314e87cd" sheetId="11" r:id="rId11"/>
    <sheet name="acd4708edfe6" sheetId="12" r:id="rId12"/>
    <sheet name="9a32b1f50fb5" sheetId="13" r:id="rId13"/>
    <sheet name="2df562aa32e7" sheetId="14" r:id="rId14"/>
    <sheet name="3a5a3c04bd9d" sheetId="15" r:id="rId15"/>
    <sheet name="192241189337" sheetId="16" r:id="rId16"/>
    <sheet name="23a0423d7f40" sheetId="17" r:id="rId17"/>
    <sheet name="096252bb3796" sheetId="18" r:id="rId18"/>
    <sheet name="a53d1c7f9645" sheetId="19" r:id="rId19"/>
    <sheet name="283d32631463" sheetId="20" r:id="rId20"/>
    <sheet name="1a542cfbf2c5" sheetId="21" r:id="rId21"/>
    <sheet name="cf262786a0e1" sheetId="22" r:id="rId22"/>
    <sheet name="4b9efdeaeb40" sheetId="23" r:id="rId23"/>
    <sheet name="66fab14edc4c" sheetId="24" r:id="rId24"/>
    <sheet name="d9a84a7879b5" sheetId="25" r:id="rId25"/>
    <sheet name="caf2b28627a3" sheetId="26" r:id="rId26"/>
    <sheet name="602e9d1875d1" sheetId="27" r:id="rId27"/>
    <sheet name="f168037f7f37" sheetId="28" r:id="rId28"/>
    <sheet name="eb071de1ab08" sheetId="29" r:id="rId29"/>
    <sheet name="7b3bd85715a4" sheetId="30" r:id="rId30"/>
    <sheet name="e2a9b537c609" sheetId="31" r:id="rId31"/>
    <sheet name="f97457958ce9" sheetId="32" r:id="rId32"/>
    <sheet name="281fcc7d7eae" sheetId="33" r:id="rId33"/>
    <sheet name="01454b1cfeba" sheetId="34" r:id="rId34"/>
    <sheet name="79287892b1d7" sheetId="35" r:id="rId35"/>
    <sheet name="1b3f96535b56" sheetId="36" r:id="rId36"/>
  </sheets>
  <definedNames>
    <definedName name="_xlnm.Print_Area" localSheetId="0">Cover!$A$1:$S$25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 i="36" l="1"/>
  <c r="M50" i="36"/>
  <c r="L50" i="36"/>
  <c r="K50" i="36"/>
  <c r="J50" i="36"/>
  <c r="I50" i="36"/>
  <c r="H50" i="36"/>
  <c r="G50" i="36"/>
  <c r="F50" i="36"/>
  <c r="E50" i="36"/>
  <c r="D50" i="36"/>
  <c r="C50" i="36"/>
  <c r="N49" i="36"/>
  <c r="M49" i="36"/>
  <c r="L49" i="36"/>
  <c r="K49" i="36"/>
  <c r="J49" i="36"/>
  <c r="I49" i="36"/>
  <c r="H49" i="36"/>
  <c r="G49" i="36"/>
  <c r="F49" i="36"/>
  <c r="E49" i="36"/>
  <c r="D49" i="36"/>
  <c r="C49" i="36"/>
  <c r="N48" i="36"/>
  <c r="M48" i="36"/>
  <c r="L48" i="36"/>
  <c r="K48" i="36"/>
  <c r="J48" i="36"/>
  <c r="I48" i="36"/>
  <c r="H48" i="36"/>
  <c r="G48" i="36"/>
  <c r="F48" i="36"/>
  <c r="E48" i="36"/>
  <c r="D48" i="36"/>
  <c r="C48" i="36"/>
  <c r="N47" i="36"/>
  <c r="M47" i="36"/>
  <c r="L47" i="36"/>
  <c r="K47" i="36"/>
  <c r="J47" i="36"/>
  <c r="I47" i="36"/>
  <c r="H47" i="36"/>
  <c r="G47" i="36"/>
  <c r="F47" i="36"/>
  <c r="E47" i="36"/>
  <c r="D47" i="36"/>
  <c r="C47" i="36"/>
  <c r="N46" i="36"/>
  <c r="M46" i="36"/>
  <c r="L46" i="36"/>
  <c r="K46" i="36"/>
  <c r="J46" i="36"/>
  <c r="I46" i="36"/>
  <c r="H46" i="36"/>
  <c r="G46" i="36"/>
  <c r="F46" i="36"/>
  <c r="E46" i="36"/>
  <c r="D46" i="36"/>
  <c r="C46" i="36"/>
  <c r="N45" i="36"/>
  <c r="M45" i="36"/>
  <c r="L45" i="36"/>
  <c r="K45" i="36"/>
  <c r="J45" i="36"/>
  <c r="I45" i="36"/>
  <c r="H45" i="36"/>
  <c r="G45" i="36"/>
  <c r="F45" i="36"/>
  <c r="E45" i="36"/>
  <c r="D45" i="36"/>
  <c r="C45" i="36"/>
  <c r="N44" i="36"/>
  <c r="M44" i="36"/>
  <c r="L44" i="36"/>
  <c r="K44" i="36"/>
  <c r="J44" i="36"/>
  <c r="I44" i="36"/>
  <c r="H44" i="36"/>
  <c r="G44" i="36"/>
  <c r="F44" i="36"/>
  <c r="E44" i="36"/>
  <c r="D44" i="36"/>
  <c r="C44" i="36"/>
  <c r="N43" i="36"/>
  <c r="M43" i="36"/>
  <c r="L43" i="36"/>
  <c r="K43" i="36"/>
  <c r="J43" i="36"/>
  <c r="I43" i="36"/>
  <c r="H43" i="36"/>
  <c r="G43" i="36"/>
  <c r="F43" i="36"/>
  <c r="E43" i="36"/>
  <c r="D43" i="36"/>
  <c r="C43" i="36"/>
  <c r="N42" i="36"/>
  <c r="M42" i="36"/>
  <c r="L42" i="36"/>
  <c r="K42" i="36"/>
  <c r="J42" i="36"/>
  <c r="I42" i="36"/>
  <c r="H42" i="36"/>
  <c r="G42" i="36"/>
  <c r="F42" i="36"/>
  <c r="E42" i="36"/>
  <c r="D42" i="36"/>
  <c r="C42" i="36"/>
  <c r="N41" i="36"/>
  <c r="M41" i="36"/>
  <c r="L41" i="36"/>
  <c r="K41" i="36"/>
  <c r="J41" i="36"/>
  <c r="I41" i="36"/>
  <c r="H41" i="36"/>
  <c r="G41" i="36"/>
  <c r="F41" i="36"/>
  <c r="E41" i="36"/>
  <c r="D41" i="36"/>
  <c r="C41" i="36"/>
  <c r="N40" i="36"/>
  <c r="M40" i="36"/>
  <c r="L40" i="36"/>
  <c r="K40" i="36"/>
  <c r="J40" i="36"/>
  <c r="I40" i="36"/>
  <c r="H40" i="36"/>
  <c r="G40" i="36"/>
  <c r="F40" i="36"/>
  <c r="E40" i="36"/>
  <c r="D40" i="36"/>
  <c r="C40" i="36"/>
  <c r="N39" i="36"/>
  <c r="M39" i="36"/>
  <c r="L39" i="36"/>
  <c r="K39" i="36"/>
  <c r="J39" i="36"/>
  <c r="I39" i="36"/>
  <c r="H39" i="36"/>
  <c r="G39" i="36"/>
  <c r="F39" i="36"/>
  <c r="E39" i="36"/>
  <c r="D39" i="36"/>
  <c r="C39" i="36"/>
  <c r="N50" i="35"/>
  <c r="M50" i="35"/>
  <c r="L50" i="35"/>
  <c r="K50" i="35"/>
  <c r="J50" i="35"/>
  <c r="I50" i="35"/>
  <c r="H50" i="35"/>
  <c r="G50" i="35"/>
  <c r="F50" i="35"/>
  <c r="E50" i="35"/>
  <c r="D50" i="35"/>
  <c r="C50" i="35"/>
  <c r="N49" i="35"/>
  <c r="M49" i="35"/>
  <c r="L49" i="35"/>
  <c r="K49" i="35"/>
  <c r="J49" i="35"/>
  <c r="I49" i="35"/>
  <c r="H49" i="35"/>
  <c r="G49" i="35"/>
  <c r="F49" i="35"/>
  <c r="E49" i="35"/>
  <c r="D49" i="35"/>
  <c r="C49" i="35"/>
  <c r="N48" i="35"/>
  <c r="M48" i="35"/>
  <c r="L48" i="35"/>
  <c r="K48" i="35"/>
  <c r="J48" i="35"/>
  <c r="I48" i="35"/>
  <c r="H48" i="35"/>
  <c r="G48" i="35"/>
  <c r="F48" i="35"/>
  <c r="E48" i="35"/>
  <c r="D48" i="35"/>
  <c r="C48" i="35"/>
  <c r="N47" i="35"/>
  <c r="M47" i="35"/>
  <c r="L47" i="35"/>
  <c r="K47" i="35"/>
  <c r="J47" i="35"/>
  <c r="I47" i="35"/>
  <c r="H47" i="35"/>
  <c r="G47" i="35"/>
  <c r="F47" i="35"/>
  <c r="E47" i="35"/>
  <c r="D47" i="35"/>
  <c r="C47" i="35"/>
  <c r="N46" i="35"/>
  <c r="M46" i="35"/>
  <c r="L46" i="35"/>
  <c r="K46" i="35"/>
  <c r="J46" i="35"/>
  <c r="I46" i="35"/>
  <c r="H46" i="35"/>
  <c r="G46" i="35"/>
  <c r="F46" i="35"/>
  <c r="E46" i="35"/>
  <c r="D46" i="35"/>
  <c r="C46" i="35"/>
  <c r="N45" i="35"/>
  <c r="M45" i="35"/>
  <c r="L45" i="35"/>
  <c r="K45" i="35"/>
  <c r="J45" i="35"/>
  <c r="I45" i="35"/>
  <c r="H45" i="35"/>
  <c r="G45" i="35"/>
  <c r="F45" i="35"/>
  <c r="E45" i="35"/>
  <c r="D45" i="35"/>
  <c r="C45" i="35"/>
  <c r="N44" i="35"/>
  <c r="M44" i="35"/>
  <c r="L44" i="35"/>
  <c r="K44" i="35"/>
  <c r="J44" i="35"/>
  <c r="I44" i="35"/>
  <c r="H44" i="35"/>
  <c r="G44" i="35"/>
  <c r="F44" i="35"/>
  <c r="E44" i="35"/>
  <c r="D44" i="35"/>
  <c r="C44" i="35"/>
  <c r="N43" i="35"/>
  <c r="M43" i="35"/>
  <c r="L43" i="35"/>
  <c r="K43" i="35"/>
  <c r="J43" i="35"/>
  <c r="I43" i="35"/>
  <c r="H43" i="35"/>
  <c r="G43" i="35"/>
  <c r="F43" i="35"/>
  <c r="E43" i="35"/>
  <c r="D43" i="35"/>
  <c r="C43" i="35"/>
  <c r="N42" i="35"/>
  <c r="M42" i="35"/>
  <c r="L42" i="35"/>
  <c r="K42" i="35"/>
  <c r="J42" i="35"/>
  <c r="I42" i="35"/>
  <c r="H42" i="35"/>
  <c r="G42" i="35"/>
  <c r="F42" i="35"/>
  <c r="E42" i="35"/>
  <c r="D42" i="35"/>
  <c r="C42" i="35"/>
  <c r="N41" i="35"/>
  <c r="M41" i="35"/>
  <c r="L41" i="35"/>
  <c r="K41" i="35"/>
  <c r="J41" i="35"/>
  <c r="I41" i="35"/>
  <c r="H41" i="35"/>
  <c r="G41" i="35"/>
  <c r="F41" i="35"/>
  <c r="E41" i="35"/>
  <c r="D41" i="35"/>
  <c r="C41" i="35"/>
  <c r="N40" i="35"/>
  <c r="M40" i="35"/>
  <c r="L40" i="35"/>
  <c r="K40" i="35"/>
  <c r="J40" i="35"/>
  <c r="I40" i="35"/>
  <c r="H40" i="35"/>
  <c r="G40" i="35"/>
  <c r="F40" i="35"/>
  <c r="E40" i="35"/>
  <c r="D40" i="35"/>
  <c r="C40" i="35"/>
  <c r="N39" i="35"/>
  <c r="M39" i="35"/>
  <c r="L39" i="35"/>
  <c r="K39" i="35"/>
  <c r="J39" i="35"/>
  <c r="I39" i="35"/>
  <c r="H39" i="35"/>
  <c r="G39" i="35"/>
  <c r="F39" i="35"/>
  <c r="E39" i="35"/>
  <c r="D39" i="35"/>
  <c r="C39" i="35"/>
  <c r="N50" i="34"/>
  <c r="M50" i="34"/>
  <c r="L50" i="34"/>
  <c r="K50" i="34"/>
  <c r="J50" i="34"/>
  <c r="I50" i="34"/>
  <c r="H50" i="34"/>
  <c r="G50" i="34"/>
  <c r="F50" i="34"/>
  <c r="E50" i="34"/>
  <c r="D50" i="34"/>
  <c r="C50" i="34"/>
  <c r="N49" i="34"/>
  <c r="M49" i="34"/>
  <c r="L49" i="34"/>
  <c r="K49" i="34"/>
  <c r="J49" i="34"/>
  <c r="I49" i="34"/>
  <c r="H49" i="34"/>
  <c r="G49" i="34"/>
  <c r="F49" i="34"/>
  <c r="E49" i="34"/>
  <c r="D49" i="34"/>
  <c r="C49" i="34"/>
  <c r="N48" i="34"/>
  <c r="M48" i="34"/>
  <c r="L48" i="34"/>
  <c r="K48" i="34"/>
  <c r="J48" i="34"/>
  <c r="I48" i="34"/>
  <c r="H48" i="34"/>
  <c r="G48" i="34"/>
  <c r="F48" i="34"/>
  <c r="E48" i="34"/>
  <c r="D48" i="34"/>
  <c r="C48" i="34"/>
  <c r="N47" i="34"/>
  <c r="M47" i="34"/>
  <c r="L47" i="34"/>
  <c r="K47" i="34"/>
  <c r="J47" i="34"/>
  <c r="I47" i="34"/>
  <c r="H47" i="34"/>
  <c r="G47" i="34"/>
  <c r="F47" i="34"/>
  <c r="E47" i="34"/>
  <c r="D47" i="34"/>
  <c r="C47" i="34"/>
  <c r="N46" i="34"/>
  <c r="M46" i="34"/>
  <c r="L46" i="34"/>
  <c r="K46" i="34"/>
  <c r="J46" i="34"/>
  <c r="I46" i="34"/>
  <c r="H46" i="34"/>
  <c r="G46" i="34"/>
  <c r="F46" i="34"/>
  <c r="E46" i="34"/>
  <c r="D46" i="34"/>
  <c r="C46" i="34"/>
  <c r="N45" i="34"/>
  <c r="M45" i="34"/>
  <c r="L45" i="34"/>
  <c r="K45" i="34"/>
  <c r="J45" i="34"/>
  <c r="I45" i="34"/>
  <c r="H45" i="34"/>
  <c r="G45" i="34"/>
  <c r="F45" i="34"/>
  <c r="E45" i="34"/>
  <c r="D45" i="34"/>
  <c r="C45" i="34"/>
  <c r="N44" i="34"/>
  <c r="M44" i="34"/>
  <c r="L44" i="34"/>
  <c r="K44" i="34"/>
  <c r="J44" i="34"/>
  <c r="I44" i="34"/>
  <c r="H44" i="34"/>
  <c r="G44" i="34"/>
  <c r="F44" i="34"/>
  <c r="E44" i="34"/>
  <c r="D44" i="34"/>
  <c r="C44" i="34"/>
  <c r="N43" i="34"/>
  <c r="M43" i="34"/>
  <c r="L43" i="34"/>
  <c r="K43" i="34"/>
  <c r="J43" i="34"/>
  <c r="I43" i="34"/>
  <c r="H43" i="34"/>
  <c r="G43" i="34"/>
  <c r="F43" i="34"/>
  <c r="E43" i="34"/>
  <c r="D43" i="34"/>
  <c r="C43" i="34"/>
  <c r="N42" i="34"/>
  <c r="M42" i="34"/>
  <c r="L42" i="34"/>
  <c r="K42" i="34"/>
  <c r="J42" i="34"/>
  <c r="I42" i="34"/>
  <c r="H42" i="34"/>
  <c r="G42" i="34"/>
  <c r="F42" i="34"/>
  <c r="E42" i="34"/>
  <c r="D42" i="34"/>
  <c r="C42" i="34"/>
  <c r="N41" i="34"/>
  <c r="M41" i="34"/>
  <c r="L41" i="34"/>
  <c r="K41" i="34"/>
  <c r="J41" i="34"/>
  <c r="I41" i="34"/>
  <c r="H41" i="34"/>
  <c r="G41" i="34"/>
  <c r="F41" i="34"/>
  <c r="E41" i="34"/>
  <c r="D41" i="34"/>
  <c r="C41" i="34"/>
  <c r="N40" i="34"/>
  <c r="M40" i="34"/>
  <c r="L40" i="34"/>
  <c r="K40" i="34"/>
  <c r="J40" i="34"/>
  <c r="I40" i="34"/>
  <c r="H40" i="34"/>
  <c r="G40" i="34"/>
  <c r="F40" i="34"/>
  <c r="E40" i="34"/>
  <c r="D40" i="34"/>
  <c r="C40" i="34"/>
  <c r="N39" i="34"/>
  <c r="M39" i="34"/>
  <c r="L39" i="34"/>
  <c r="K39" i="34"/>
  <c r="J39" i="34"/>
  <c r="I39" i="34"/>
  <c r="H39" i="34"/>
  <c r="G39" i="34"/>
  <c r="F39" i="34"/>
  <c r="E39" i="34"/>
  <c r="D39" i="34"/>
  <c r="C39" i="34"/>
  <c r="N50" i="33"/>
  <c r="M50" i="33"/>
  <c r="L50" i="33"/>
  <c r="K50" i="33"/>
  <c r="J50" i="33"/>
  <c r="I50" i="33"/>
  <c r="H50" i="33"/>
  <c r="G50" i="33"/>
  <c r="F50" i="33"/>
  <c r="E50" i="33"/>
  <c r="D50" i="33"/>
  <c r="C50" i="33"/>
  <c r="N49" i="33"/>
  <c r="M49" i="33"/>
  <c r="L49" i="33"/>
  <c r="K49" i="33"/>
  <c r="J49" i="33"/>
  <c r="I49" i="33"/>
  <c r="H49" i="33"/>
  <c r="G49" i="33"/>
  <c r="F49" i="33"/>
  <c r="E49" i="33"/>
  <c r="D49" i="33"/>
  <c r="C49" i="33"/>
  <c r="N48" i="33"/>
  <c r="M48" i="33"/>
  <c r="L48" i="33"/>
  <c r="K48" i="33"/>
  <c r="J48" i="33"/>
  <c r="I48" i="33"/>
  <c r="H48" i="33"/>
  <c r="G48" i="33"/>
  <c r="F48" i="33"/>
  <c r="E48" i="33"/>
  <c r="D48" i="33"/>
  <c r="C48" i="33"/>
  <c r="N47" i="33"/>
  <c r="M47" i="33"/>
  <c r="L47" i="33"/>
  <c r="K47" i="33"/>
  <c r="J47" i="33"/>
  <c r="I47" i="33"/>
  <c r="H47" i="33"/>
  <c r="G47" i="33"/>
  <c r="F47" i="33"/>
  <c r="E47" i="33"/>
  <c r="D47" i="33"/>
  <c r="C47" i="33"/>
  <c r="N46" i="33"/>
  <c r="M46" i="33"/>
  <c r="L46" i="33"/>
  <c r="K46" i="33"/>
  <c r="J46" i="33"/>
  <c r="I46" i="33"/>
  <c r="H46" i="33"/>
  <c r="G46" i="33"/>
  <c r="F46" i="33"/>
  <c r="E46" i="33"/>
  <c r="D46" i="33"/>
  <c r="C46" i="33"/>
  <c r="N45" i="33"/>
  <c r="M45" i="33"/>
  <c r="L45" i="33"/>
  <c r="K45" i="33"/>
  <c r="J45" i="33"/>
  <c r="I45" i="33"/>
  <c r="H45" i="33"/>
  <c r="G45" i="33"/>
  <c r="F45" i="33"/>
  <c r="E45" i="33"/>
  <c r="D45" i="33"/>
  <c r="C45" i="33"/>
  <c r="N44" i="33"/>
  <c r="M44" i="33"/>
  <c r="L44" i="33"/>
  <c r="K44" i="33"/>
  <c r="J44" i="33"/>
  <c r="I44" i="33"/>
  <c r="H44" i="33"/>
  <c r="G44" i="33"/>
  <c r="F44" i="33"/>
  <c r="E44" i="33"/>
  <c r="D44" i="33"/>
  <c r="C44" i="33"/>
  <c r="N43" i="33"/>
  <c r="M43" i="33"/>
  <c r="L43" i="33"/>
  <c r="K43" i="33"/>
  <c r="J43" i="33"/>
  <c r="I43" i="33"/>
  <c r="H43" i="33"/>
  <c r="G43" i="33"/>
  <c r="F43" i="33"/>
  <c r="E43" i="33"/>
  <c r="D43" i="33"/>
  <c r="C43" i="33"/>
  <c r="N42" i="33"/>
  <c r="M42" i="33"/>
  <c r="L42" i="33"/>
  <c r="K42" i="33"/>
  <c r="J42" i="33"/>
  <c r="I42" i="33"/>
  <c r="H42" i="33"/>
  <c r="G42" i="33"/>
  <c r="F42" i="33"/>
  <c r="E42" i="33"/>
  <c r="D42" i="33"/>
  <c r="C42" i="33"/>
  <c r="N41" i="33"/>
  <c r="M41" i="33"/>
  <c r="L41" i="33"/>
  <c r="K41" i="33"/>
  <c r="J41" i="33"/>
  <c r="I41" i="33"/>
  <c r="H41" i="33"/>
  <c r="G41" i="33"/>
  <c r="F41" i="33"/>
  <c r="E41" i="33"/>
  <c r="D41" i="33"/>
  <c r="C41" i="33"/>
  <c r="N40" i="33"/>
  <c r="M40" i="33"/>
  <c r="L40" i="33"/>
  <c r="K40" i="33"/>
  <c r="J40" i="33"/>
  <c r="I40" i="33"/>
  <c r="H40" i="33"/>
  <c r="G40" i="33"/>
  <c r="F40" i="33"/>
  <c r="E40" i="33"/>
  <c r="D40" i="33"/>
  <c r="C40" i="33"/>
  <c r="N39" i="33"/>
  <c r="M39" i="33"/>
  <c r="L39" i="33"/>
  <c r="K39" i="33"/>
  <c r="J39" i="33"/>
  <c r="I39" i="33"/>
  <c r="H39" i="33"/>
  <c r="G39" i="33"/>
  <c r="F39" i="33"/>
  <c r="E39" i="33"/>
  <c r="D39" i="33"/>
  <c r="C39" i="33"/>
  <c r="N50" i="32"/>
  <c r="M50" i="32"/>
  <c r="L50" i="32"/>
  <c r="K50" i="32"/>
  <c r="J50" i="32"/>
  <c r="I50" i="32"/>
  <c r="H50" i="32"/>
  <c r="G50" i="32"/>
  <c r="F50" i="32"/>
  <c r="E50" i="32"/>
  <c r="D50" i="32"/>
  <c r="C50" i="32"/>
  <c r="N49" i="32"/>
  <c r="M49" i="32"/>
  <c r="L49" i="32"/>
  <c r="K49" i="32"/>
  <c r="J49" i="32"/>
  <c r="I49" i="32"/>
  <c r="H49" i="32"/>
  <c r="G49" i="32"/>
  <c r="F49" i="32"/>
  <c r="E49" i="32"/>
  <c r="D49" i="32"/>
  <c r="C49" i="32"/>
  <c r="N48" i="32"/>
  <c r="M48" i="32"/>
  <c r="L48" i="32"/>
  <c r="K48" i="32"/>
  <c r="J48" i="32"/>
  <c r="I48" i="32"/>
  <c r="H48" i="32"/>
  <c r="G48" i="32"/>
  <c r="F48" i="32"/>
  <c r="E48" i="32"/>
  <c r="D48" i="32"/>
  <c r="C48" i="32"/>
  <c r="N47" i="32"/>
  <c r="M47" i="32"/>
  <c r="L47" i="32"/>
  <c r="K47" i="32"/>
  <c r="J47" i="32"/>
  <c r="I47" i="32"/>
  <c r="H47" i="32"/>
  <c r="G47" i="32"/>
  <c r="F47" i="32"/>
  <c r="E47" i="32"/>
  <c r="D47" i="32"/>
  <c r="C47" i="32"/>
  <c r="N46" i="32"/>
  <c r="M46" i="32"/>
  <c r="L46" i="32"/>
  <c r="K46" i="32"/>
  <c r="J46" i="32"/>
  <c r="I46" i="32"/>
  <c r="H46" i="32"/>
  <c r="G46" i="32"/>
  <c r="F46" i="32"/>
  <c r="E46" i="32"/>
  <c r="D46" i="32"/>
  <c r="C46" i="32"/>
  <c r="N45" i="32"/>
  <c r="M45" i="32"/>
  <c r="L45" i="32"/>
  <c r="K45" i="32"/>
  <c r="J45" i="32"/>
  <c r="I45" i="32"/>
  <c r="H45" i="32"/>
  <c r="G45" i="32"/>
  <c r="F45" i="32"/>
  <c r="E45" i="32"/>
  <c r="D45" i="32"/>
  <c r="C45" i="32"/>
  <c r="N44" i="32"/>
  <c r="M44" i="32"/>
  <c r="L44" i="32"/>
  <c r="K44" i="32"/>
  <c r="J44" i="32"/>
  <c r="I44" i="32"/>
  <c r="H44" i="32"/>
  <c r="G44" i="32"/>
  <c r="F44" i="32"/>
  <c r="E44" i="32"/>
  <c r="D44" i="32"/>
  <c r="C44" i="32"/>
  <c r="N43" i="32"/>
  <c r="M43" i="32"/>
  <c r="L43" i="32"/>
  <c r="K43" i="32"/>
  <c r="J43" i="32"/>
  <c r="I43" i="32"/>
  <c r="H43" i="32"/>
  <c r="G43" i="32"/>
  <c r="F43" i="32"/>
  <c r="E43" i="32"/>
  <c r="D43" i="32"/>
  <c r="C43" i="32"/>
  <c r="N42" i="32"/>
  <c r="M42" i="32"/>
  <c r="L42" i="32"/>
  <c r="K42" i="32"/>
  <c r="J42" i="32"/>
  <c r="I42" i="32"/>
  <c r="H42" i="32"/>
  <c r="G42" i="32"/>
  <c r="F42" i="32"/>
  <c r="E42" i="32"/>
  <c r="D42" i="32"/>
  <c r="C42" i="32"/>
  <c r="N41" i="32"/>
  <c r="M41" i="32"/>
  <c r="L41" i="32"/>
  <c r="K41" i="32"/>
  <c r="J41" i="32"/>
  <c r="I41" i="32"/>
  <c r="H41" i="32"/>
  <c r="G41" i="32"/>
  <c r="F41" i="32"/>
  <c r="E41" i="32"/>
  <c r="D41" i="32"/>
  <c r="C41" i="32"/>
  <c r="N40" i="32"/>
  <c r="M40" i="32"/>
  <c r="L40" i="32"/>
  <c r="K40" i="32"/>
  <c r="J40" i="32"/>
  <c r="I40" i="32"/>
  <c r="H40" i="32"/>
  <c r="G40" i="32"/>
  <c r="F40" i="32"/>
  <c r="E40" i="32"/>
  <c r="D40" i="32"/>
  <c r="C40" i="32"/>
  <c r="N39" i="32"/>
  <c r="M39" i="32"/>
  <c r="L39" i="32"/>
  <c r="K39" i="32"/>
  <c r="J39" i="32"/>
  <c r="I39" i="32"/>
  <c r="H39" i="32"/>
  <c r="G39" i="32"/>
  <c r="F39" i="32"/>
  <c r="E39" i="32"/>
  <c r="D39" i="32"/>
  <c r="C39" i="32"/>
  <c r="N50" i="31"/>
  <c r="M50" i="31"/>
  <c r="L50" i="31"/>
  <c r="K50" i="31"/>
  <c r="J50" i="31"/>
  <c r="I50" i="31"/>
  <c r="H50" i="31"/>
  <c r="G50" i="31"/>
  <c r="F50" i="31"/>
  <c r="E50" i="31"/>
  <c r="D50" i="31"/>
  <c r="C50" i="31"/>
  <c r="N49" i="31"/>
  <c r="M49" i="31"/>
  <c r="L49" i="31"/>
  <c r="K49" i="31"/>
  <c r="J49" i="31"/>
  <c r="I49" i="31"/>
  <c r="H49" i="31"/>
  <c r="G49" i="31"/>
  <c r="F49" i="31"/>
  <c r="E49" i="31"/>
  <c r="D49" i="31"/>
  <c r="C49" i="31"/>
  <c r="N48" i="31"/>
  <c r="M48" i="31"/>
  <c r="L48" i="31"/>
  <c r="K48" i="31"/>
  <c r="J48" i="31"/>
  <c r="I48" i="31"/>
  <c r="H48" i="31"/>
  <c r="G48" i="31"/>
  <c r="F48" i="31"/>
  <c r="E48" i="31"/>
  <c r="D48" i="31"/>
  <c r="C48" i="31"/>
  <c r="N47" i="31"/>
  <c r="M47" i="31"/>
  <c r="L47" i="31"/>
  <c r="K47" i="31"/>
  <c r="J47" i="31"/>
  <c r="I47" i="31"/>
  <c r="H47" i="31"/>
  <c r="G47" i="31"/>
  <c r="F47" i="31"/>
  <c r="E47" i="31"/>
  <c r="D47" i="31"/>
  <c r="C47" i="31"/>
  <c r="N46" i="31"/>
  <c r="M46" i="31"/>
  <c r="L46" i="31"/>
  <c r="K46" i="31"/>
  <c r="J46" i="31"/>
  <c r="I46" i="31"/>
  <c r="H46" i="31"/>
  <c r="G46" i="31"/>
  <c r="F46" i="31"/>
  <c r="E46" i="31"/>
  <c r="D46" i="31"/>
  <c r="C46" i="31"/>
  <c r="N45" i="31"/>
  <c r="M45" i="31"/>
  <c r="L45" i="31"/>
  <c r="K45" i="31"/>
  <c r="J45" i="31"/>
  <c r="I45" i="31"/>
  <c r="H45" i="31"/>
  <c r="G45" i="31"/>
  <c r="F45" i="31"/>
  <c r="E45" i="31"/>
  <c r="D45" i="31"/>
  <c r="C45" i="31"/>
  <c r="N44" i="31"/>
  <c r="M44" i="31"/>
  <c r="L44" i="31"/>
  <c r="K44" i="31"/>
  <c r="J44" i="31"/>
  <c r="I44" i="31"/>
  <c r="H44" i="31"/>
  <c r="G44" i="31"/>
  <c r="F44" i="31"/>
  <c r="E44" i="31"/>
  <c r="D44" i="31"/>
  <c r="C44" i="31"/>
  <c r="N43" i="31"/>
  <c r="M43" i="31"/>
  <c r="L43" i="31"/>
  <c r="K43" i="31"/>
  <c r="J43" i="31"/>
  <c r="I43" i="31"/>
  <c r="H43" i="31"/>
  <c r="G43" i="31"/>
  <c r="F43" i="31"/>
  <c r="E43" i="31"/>
  <c r="D43" i="31"/>
  <c r="C43" i="31"/>
  <c r="N42" i="31"/>
  <c r="M42" i="31"/>
  <c r="L42" i="31"/>
  <c r="K42" i="31"/>
  <c r="J42" i="31"/>
  <c r="I42" i="31"/>
  <c r="H42" i="31"/>
  <c r="G42" i="31"/>
  <c r="F42" i="31"/>
  <c r="E42" i="31"/>
  <c r="D42" i="31"/>
  <c r="C42" i="31"/>
  <c r="N41" i="31"/>
  <c r="M41" i="31"/>
  <c r="L41" i="31"/>
  <c r="K41" i="31"/>
  <c r="J41" i="31"/>
  <c r="I41" i="31"/>
  <c r="H41" i="31"/>
  <c r="G41" i="31"/>
  <c r="F41" i="31"/>
  <c r="E41" i="31"/>
  <c r="D41" i="31"/>
  <c r="C41" i="31"/>
  <c r="N40" i="31"/>
  <c r="M40" i="31"/>
  <c r="L40" i="31"/>
  <c r="K40" i="31"/>
  <c r="J40" i="31"/>
  <c r="I40" i="31"/>
  <c r="H40" i="31"/>
  <c r="G40" i="31"/>
  <c r="F40" i="31"/>
  <c r="E40" i="31"/>
  <c r="D40" i="31"/>
  <c r="C40" i="31"/>
  <c r="N39" i="31"/>
  <c r="M39" i="31"/>
  <c r="L39" i="31"/>
  <c r="K39" i="31"/>
  <c r="J39" i="31"/>
  <c r="I39" i="31"/>
  <c r="H39" i="31"/>
  <c r="G39" i="31"/>
  <c r="F39" i="31"/>
  <c r="E39" i="31"/>
  <c r="D39" i="31"/>
  <c r="C39" i="31"/>
  <c r="N50" i="30"/>
  <c r="M50" i="30"/>
  <c r="L50" i="30"/>
  <c r="K50" i="30"/>
  <c r="J50" i="30"/>
  <c r="I50" i="30"/>
  <c r="H50" i="30"/>
  <c r="G50" i="30"/>
  <c r="F50" i="30"/>
  <c r="E50" i="30"/>
  <c r="D50" i="30"/>
  <c r="C50" i="30"/>
  <c r="N49" i="30"/>
  <c r="M49" i="30"/>
  <c r="L49" i="30"/>
  <c r="K49" i="30"/>
  <c r="J49" i="30"/>
  <c r="I49" i="30"/>
  <c r="H49" i="30"/>
  <c r="G49" i="30"/>
  <c r="F49" i="30"/>
  <c r="E49" i="30"/>
  <c r="D49" i="30"/>
  <c r="C49" i="30"/>
  <c r="N48" i="30"/>
  <c r="M48" i="30"/>
  <c r="L48" i="30"/>
  <c r="K48" i="30"/>
  <c r="J48" i="30"/>
  <c r="I48" i="30"/>
  <c r="H48" i="30"/>
  <c r="G48" i="30"/>
  <c r="F48" i="30"/>
  <c r="E48" i="30"/>
  <c r="D48" i="30"/>
  <c r="C48" i="30"/>
  <c r="N47" i="30"/>
  <c r="M47" i="30"/>
  <c r="L47" i="30"/>
  <c r="K47" i="30"/>
  <c r="J47" i="30"/>
  <c r="I47" i="30"/>
  <c r="H47" i="30"/>
  <c r="G47" i="30"/>
  <c r="F47" i="30"/>
  <c r="E47" i="30"/>
  <c r="D47" i="30"/>
  <c r="C47" i="30"/>
  <c r="N46" i="30"/>
  <c r="M46" i="30"/>
  <c r="L46" i="30"/>
  <c r="K46" i="30"/>
  <c r="J46" i="30"/>
  <c r="I46" i="30"/>
  <c r="H46" i="30"/>
  <c r="G46" i="30"/>
  <c r="F46" i="30"/>
  <c r="E46" i="30"/>
  <c r="D46" i="30"/>
  <c r="C46" i="30"/>
  <c r="N45" i="30"/>
  <c r="M45" i="30"/>
  <c r="L45" i="30"/>
  <c r="K45" i="30"/>
  <c r="J45" i="30"/>
  <c r="I45" i="30"/>
  <c r="H45" i="30"/>
  <c r="G45" i="30"/>
  <c r="F45" i="30"/>
  <c r="E45" i="30"/>
  <c r="D45" i="30"/>
  <c r="C45" i="30"/>
  <c r="N44" i="30"/>
  <c r="M44" i="30"/>
  <c r="L44" i="30"/>
  <c r="K44" i="30"/>
  <c r="J44" i="30"/>
  <c r="I44" i="30"/>
  <c r="H44" i="30"/>
  <c r="G44" i="30"/>
  <c r="F44" i="30"/>
  <c r="E44" i="30"/>
  <c r="D44" i="30"/>
  <c r="C44" i="30"/>
  <c r="N43" i="30"/>
  <c r="M43" i="30"/>
  <c r="L43" i="30"/>
  <c r="K43" i="30"/>
  <c r="J43" i="30"/>
  <c r="I43" i="30"/>
  <c r="H43" i="30"/>
  <c r="G43" i="30"/>
  <c r="F43" i="30"/>
  <c r="E43" i="30"/>
  <c r="D43" i="30"/>
  <c r="C43" i="30"/>
  <c r="N42" i="30"/>
  <c r="M42" i="30"/>
  <c r="L42" i="30"/>
  <c r="K42" i="30"/>
  <c r="J42" i="30"/>
  <c r="I42" i="30"/>
  <c r="H42" i="30"/>
  <c r="G42" i="30"/>
  <c r="F42" i="30"/>
  <c r="E42" i="30"/>
  <c r="D42" i="30"/>
  <c r="C42" i="30"/>
  <c r="N41" i="30"/>
  <c r="M41" i="30"/>
  <c r="L41" i="30"/>
  <c r="K41" i="30"/>
  <c r="J41" i="30"/>
  <c r="I41" i="30"/>
  <c r="H41" i="30"/>
  <c r="G41" i="30"/>
  <c r="F41" i="30"/>
  <c r="E41" i="30"/>
  <c r="D41" i="30"/>
  <c r="C41" i="30"/>
  <c r="N40" i="30"/>
  <c r="M40" i="30"/>
  <c r="L40" i="30"/>
  <c r="K40" i="30"/>
  <c r="J40" i="30"/>
  <c r="I40" i="30"/>
  <c r="H40" i="30"/>
  <c r="G40" i="30"/>
  <c r="F40" i="30"/>
  <c r="E40" i="30"/>
  <c r="D40" i="30"/>
  <c r="C40" i="30"/>
  <c r="N39" i="30"/>
  <c r="M39" i="30"/>
  <c r="L39" i="30"/>
  <c r="K39" i="30"/>
  <c r="J39" i="30"/>
  <c r="I39" i="30"/>
  <c r="H39" i="30"/>
  <c r="G39" i="30"/>
  <c r="F39" i="30"/>
  <c r="E39" i="30"/>
  <c r="D39" i="30"/>
  <c r="C39" i="30"/>
  <c r="N50" i="29"/>
  <c r="M50" i="29"/>
  <c r="L50" i="29"/>
  <c r="K50" i="29"/>
  <c r="J50" i="29"/>
  <c r="I50" i="29"/>
  <c r="H50" i="29"/>
  <c r="G50" i="29"/>
  <c r="F50" i="29"/>
  <c r="E50" i="29"/>
  <c r="D50" i="29"/>
  <c r="C50" i="29"/>
  <c r="N49" i="29"/>
  <c r="M49" i="29"/>
  <c r="L49" i="29"/>
  <c r="K49" i="29"/>
  <c r="J49" i="29"/>
  <c r="I49" i="29"/>
  <c r="H49" i="29"/>
  <c r="G49" i="29"/>
  <c r="F49" i="29"/>
  <c r="E49" i="29"/>
  <c r="D49" i="29"/>
  <c r="C49" i="29"/>
  <c r="N48" i="29"/>
  <c r="M48" i="29"/>
  <c r="L48" i="29"/>
  <c r="K48" i="29"/>
  <c r="J48" i="29"/>
  <c r="I48" i="29"/>
  <c r="H48" i="29"/>
  <c r="G48" i="29"/>
  <c r="F48" i="29"/>
  <c r="E48" i="29"/>
  <c r="D48" i="29"/>
  <c r="C48" i="29"/>
  <c r="N47" i="29"/>
  <c r="M47" i="29"/>
  <c r="L47" i="29"/>
  <c r="K47" i="29"/>
  <c r="J47" i="29"/>
  <c r="I47" i="29"/>
  <c r="H47" i="29"/>
  <c r="G47" i="29"/>
  <c r="F47" i="29"/>
  <c r="E47" i="29"/>
  <c r="D47" i="29"/>
  <c r="C47" i="29"/>
  <c r="N46" i="29"/>
  <c r="M46" i="29"/>
  <c r="L46" i="29"/>
  <c r="K46" i="29"/>
  <c r="J46" i="29"/>
  <c r="I46" i="29"/>
  <c r="H46" i="29"/>
  <c r="G46" i="29"/>
  <c r="F46" i="29"/>
  <c r="E46" i="29"/>
  <c r="D46" i="29"/>
  <c r="C46" i="29"/>
  <c r="N45" i="29"/>
  <c r="M45" i="29"/>
  <c r="L45" i="29"/>
  <c r="K45" i="29"/>
  <c r="J45" i="29"/>
  <c r="I45" i="29"/>
  <c r="H45" i="29"/>
  <c r="G45" i="29"/>
  <c r="F45" i="29"/>
  <c r="E45" i="29"/>
  <c r="D45" i="29"/>
  <c r="C45" i="29"/>
  <c r="N44" i="29"/>
  <c r="M44" i="29"/>
  <c r="L44" i="29"/>
  <c r="K44" i="29"/>
  <c r="J44" i="29"/>
  <c r="I44" i="29"/>
  <c r="H44" i="29"/>
  <c r="G44" i="29"/>
  <c r="F44" i="29"/>
  <c r="E44" i="29"/>
  <c r="D44" i="29"/>
  <c r="C44" i="29"/>
  <c r="N43" i="29"/>
  <c r="M43" i="29"/>
  <c r="L43" i="29"/>
  <c r="K43" i="29"/>
  <c r="J43" i="29"/>
  <c r="I43" i="29"/>
  <c r="H43" i="29"/>
  <c r="G43" i="29"/>
  <c r="F43" i="29"/>
  <c r="E43" i="29"/>
  <c r="D43" i="29"/>
  <c r="C43" i="29"/>
  <c r="N42" i="29"/>
  <c r="M42" i="29"/>
  <c r="L42" i="29"/>
  <c r="K42" i="29"/>
  <c r="J42" i="29"/>
  <c r="I42" i="29"/>
  <c r="H42" i="29"/>
  <c r="G42" i="29"/>
  <c r="F42" i="29"/>
  <c r="E42" i="29"/>
  <c r="D42" i="29"/>
  <c r="C42" i="29"/>
  <c r="N41" i="29"/>
  <c r="M41" i="29"/>
  <c r="L41" i="29"/>
  <c r="K41" i="29"/>
  <c r="J41" i="29"/>
  <c r="I41" i="29"/>
  <c r="H41" i="29"/>
  <c r="G41" i="29"/>
  <c r="F41" i="29"/>
  <c r="E41" i="29"/>
  <c r="D41" i="29"/>
  <c r="C41" i="29"/>
  <c r="N40" i="29"/>
  <c r="M40" i="29"/>
  <c r="L40" i="29"/>
  <c r="K40" i="29"/>
  <c r="J40" i="29"/>
  <c r="I40" i="29"/>
  <c r="H40" i="29"/>
  <c r="G40" i="29"/>
  <c r="F40" i="29"/>
  <c r="E40" i="29"/>
  <c r="D40" i="29"/>
  <c r="C40" i="29"/>
  <c r="N39" i="29"/>
  <c r="M39" i="29"/>
  <c r="L39" i="29"/>
  <c r="K39" i="29"/>
  <c r="J39" i="29"/>
  <c r="I39" i="29"/>
  <c r="H39" i="29"/>
  <c r="G39" i="29"/>
  <c r="F39" i="29"/>
  <c r="E39" i="29"/>
  <c r="D39" i="29"/>
  <c r="C39" i="29"/>
  <c r="N50" i="28"/>
  <c r="M50" i="28"/>
  <c r="L50" i="28"/>
  <c r="K50" i="28"/>
  <c r="J50" i="28"/>
  <c r="I50" i="28"/>
  <c r="H50" i="28"/>
  <c r="G50" i="28"/>
  <c r="F50" i="28"/>
  <c r="E50" i="28"/>
  <c r="D50" i="28"/>
  <c r="C50" i="28"/>
  <c r="N49" i="28"/>
  <c r="M49" i="28"/>
  <c r="L49" i="28"/>
  <c r="K49" i="28"/>
  <c r="J49" i="28"/>
  <c r="I49" i="28"/>
  <c r="H49" i="28"/>
  <c r="G49" i="28"/>
  <c r="F49" i="28"/>
  <c r="E49" i="28"/>
  <c r="D49" i="28"/>
  <c r="C49" i="28"/>
  <c r="N48" i="28"/>
  <c r="M48" i="28"/>
  <c r="L48" i="28"/>
  <c r="K48" i="28"/>
  <c r="J48" i="28"/>
  <c r="I48" i="28"/>
  <c r="H48" i="28"/>
  <c r="G48" i="28"/>
  <c r="F48" i="28"/>
  <c r="E48" i="28"/>
  <c r="D48" i="28"/>
  <c r="C48" i="28"/>
  <c r="N47" i="28"/>
  <c r="M47" i="28"/>
  <c r="L47" i="28"/>
  <c r="K47" i="28"/>
  <c r="J47" i="28"/>
  <c r="I47" i="28"/>
  <c r="H47" i="28"/>
  <c r="G47" i="28"/>
  <c r="F47" i="28"/>
  <c r="E47" i="28"/>
  <c r="D47" i="28"/>
  <c r="C47" i="28"/>
  <c r="N46" i="28"/>
  <c r="M46" i="28"/>
  <c r="L46" i="28"/>
  <c r="K46" i="28"/>
  <c r="J46" i="28"/>
  <c r="I46" i="28"/>
  <c r="H46" i="28"/>
  <c r="G46" i="28"/>
  <c r="F46" i="28"/>
  <c r="E46" i="28"/>
  <c r="D46" i="28"/>
  <c r="C46" i="28"/>
  <c r="N45" i="28"/>
  <c r="M45" i="28"/>
  <c r="L45" i="28"/>
  <c r="K45" i="28"/>
  <c r="J45" i="28"/>
  <c r="I45" i="28"/>
  <c r="H45" i="28"/>
  <c r="G45" i="28"/>
  <c r="F45" i="28"/>
  <c r="E45" i="28"/>
  <c r="D45" i="28"/>
  <c r="C45" i="28"/>
  <c r="N44" i="28"/>
  <c r="M44" i="28"/>
  <c r="L44" i="28"/>
  <c r="K44" i="28"/>
  <c r="J44" i="28"/>
  <c r="I44" i="28"/>
  <c r="H44" i="28"/>
  <c r="G44" i="28"/>
  <c r="F44" i="28"/>
  <c r="E44" i="28"/>
  <c r="D44" i="28"/>
  <c r="C44" i="28"/>
  <c r="N43" i="28"/>
  <c r="M43" i="28"/>
  <c r="L43" i="28"/>
  <c r="K43" i="28"/>
  <c r="J43" i="28"/>
  <c r="I43" i="28"/>
  <c r="H43" i="28"/>
  <c r="G43" i="28"/>
  <c r="F43" i="28"/>
  <c r="E43" i="28"/>
  <c r="D43" i="28"/>
  <c r="C43" i="28"/>
  <c r="N42" i="28"/>
  <c r="M42" i="28"/>
  <c r="L42" i="28"/>
  <c r="K42" i="28"/>
  <c r="J42" i="28"/>
  <c r="I42" i="28"/>
  <c r="H42" i="28"/>
  <c r="G42" i="28"/>
  <c r="F42" i="28"/>
  <c r="E42" i="28"/>
  <c r="D42" i="28"/>
  <c r="C42" i="28"/>
  <c r="N41" i="28"/>
  <c r="M41" i="28"/>
  <c r="L41" i="28"/>
  <c r="K41" i="28"/>
  <c r="J41" i="28"/>
  <c r="I41" i="28"/>
  <c r="H41" i="28"/>
  <c r="G41" i="28"/>
  <c r="F41" i="28"/>
  <c r="E41" i="28"/>
  <c r="D41" i="28"/>
  <c r="C41" i="28"/>
  <c r="N40" i="28"/>
  <c r="M40" i="28"/>
  <c r="L40" i="28"/>
  <c r="K40" i="28"/>
  <c r="J40" i="28"/>
  <c r="I40" i="28"/>
  <c r="H40" i="28"/>
  <c r="G40" i="28"/>
  <c r="F40" i="28"/>
  <c r="E40" i="28"/>
  <c r="D40" i="28"/>
  <c r="C40" i="28"/>
  <c r="N39" i="28"/>
  <c r="M39" i="28"/>
  <c r="L39" i="28"/>
  <c r="K39" i="28"/>
  <c r="J39" i="28"/>
  <c r="I39" i="28"/>
  <c r="H39" i="28"/>
  <c r="G39" i="28"/>
  <c r="F39" i="28"/>
  <c r="E39" i="28"/>
  <c r="D39" i="28"/>
  <c r="C39" i="28"/>
  <c r="N50" i="27"/>
  <c r="M50" i="27"/>
  <c r="L50" i="27"/>
  <c r="K50" i="27"/>
  <c r="J50" i="27"/>
  <c r="I50" i="27"/>
  <c r="H50" i="27"/>
  <c r="G50" i="27"/>
  <c r="F50" i="27"/>
  <c r="E50" i="27"/>
  <c r="D50" i="27"/>
  <c r="C50" i="27"/>
  <c r="N49" i="27"/>
  <c r="M49" i="27"/>
  <c r="L49" i="27"/>
  <c r="K49" i="27"/>
  <c r="J49" i="27"/>
  <c r="I49" i="27"/>
  <c r="H49" i="27"/>
  <c r="G49" i="27"/>
  <c r="F49" i="27"/>
  <c r="E49" i="27"/>
  <c r="D49" i="27"/>
  <c r="C49" i="27"/>
  <c r="N48" i="27"/>
  <c r="M48" i="27"/>
  <c r="L48" i="27"/>
  <c r="K48" i="27"/>
  <c r="J48" i="27"/>
  <c r="I48" i="27"/>
  <c r="H48" i="27"/>
  <c r="G48" i="27"/>
  <c r="F48" i="27"/>
  <c r="E48" i="27"/>
  <c r="D48" i="27"/>
  <c r="C48" i="27"/>
  <c r="N47" i="27"/>
  <c r="M47" i="27"/>
  <c r="L47" i="27"/>
  <c r="K47" i="27"/>
  <c r="J47" i="27"/>
  <c r="I47" i="27"/>
  <c r="H47" i="27"/>
  <c r="G47" i="27"/>
  <c r="F47" i="27"/>
  <c r="E47" i="27"/>
  <c r="D47" i="27"/>
  <c r="C47" i="27"/>
  <c r="N46" i="27"/>
  <c r="M46" i="27"/>
  <c r="L46" i="27"/>
  <c r="K46" i="27"/>
  <c r="J46" i="27"/>
  <c r="I46" i="27"/>
  <c r="H46" i="27"/>
  <c r="G46" i="27"/>
  <c r="F46" i="27"/>
  <c r="E46" i="27"/>
  <c r="D46" i="27"/>
  <c r="C46" i="27"/>
  <c r="N45" i="27"/>
  <c r="M45" i="27"/>
  <c r="L45" i="27"/>
  <c r="K45" i="27"/>
  <c r="J45" i="27"/>
  <c r="I45" i="27"/>
  <c r="H45" i="27"/>
  <c r="G45" i="27"/>
  <c r="F45" i="27"/>
  <c r="E45" i="27"/>
  <c r="D45" i="27"/>
  <c r="C45" i="27"/>
  <c r="N44" i="27"/>
  <c r="M44" i="27"/>
  <c r="L44" i="27"/>
  <c r="K44" i="27"/>
  <c r="J44" i="27"/>
  <c r="I44" i="27"/>
  <c r="H44" i="27"/>
  <c r="G44" i="27"/>
  <c r="F44" i="27"/>
  <c r="E44" i="27"/>
  <c r="D44" i="27"/>
  <c r="C44" i="27"/>
  <c r="N43" i="27"/>
  <c r="M43" i="27"/>
  <c r="L43" i="27"/>
  <c r="K43" i="27"/>
  <c r="J43" i="27"/>
  <c r="I43" i="27"/>
  <c r="H43" i="27"/>
  <c r="G43" i="27"/>
  <c r="F43" i="27"/>
  <c r="E43" i="27"/>
  <c r="D43" i="27"/>
  <c r="C43" i="27"/>
  <c r="N42" i="27"/>
  <c r="M42" i="27"/>
  <c r="L42" i="27"/>
  <c r="K42" i="27"/>
  <c r="J42" i="27"/>
  <c r="I42" i="27"/>
  <c r="H42" i="27"/>
  <c r="G42" i="27"/>
  <c r="F42" i="27"/>
  <c r="E42" i="27"/>
  <c r="D42" i="27"/>
  <c r="C42" i="27"/>
  <c r="N41" i="27"/>
  <c r="M41" i="27"/>
  <c r="L41" i="27"/>
  <c r="K41" i="27"/>
  <c r="J41" i="27"/>
  <c r="I41" i="27"/>
  <c r="H41" i="27"/>
  <c r="G41" i="27"/>
  <c r="F41" i="27"/>
  <c r="E41" i="27"/>
  <c r="D41" i="27"/>
  <c r="C41" i="27"/>
  <c r="N40" i="27"/>
  <c r="M40" i="27"/>
  <c r="L40" i="27"/>
  <c r="K40" i="27"/>
  <c r="J40" i="27"/>
  <c r="I40" i="27"/>
  <c r="H40" i="27"/>
  <c r="G40" i="27"/>
  <c r="F40" i="27"/>
  <c r="E40" i="27"/>
  <c r="D40" i="27"/>
  <c r="C40" i="27"/>
  <c r="N39" i="27"/>
  <c r="M39" i="27"/>
  <c r="L39" i="27"/>
  <c r="K39" i="27"/>
  <c r="J39" i="27"/>
  <c r="I39" i="27"/>
  <c r="H39" i="27"/>
  <c r="G39" i="27"/>
  <c r="F39" i="27"/>
  <c r="E39" i="27"/>
  <c r="D39" i="27"/>
  <c r="C39" i="27"/>
  <c r="N50" i="26"/>
  <c r="M50" i="26"/>
  <c r="L50" i="26"/>
  <c r="K50" i="26"/>
  <c r="J50" i="26"/>
  <c r="I50" i="26"/>
  <c r="H50" i="26"/>
  <c r="G50" i="26"/>
  <c r="F50" i="26"/>
  <c r="E50" i="26"/>
  <c r="D50" i="26"/>
  <c r="C50" i="26"/>
  <c r="N49" i="26"/>
  <c r="M49" i="26"/>
  <c r="L49" i="26"/>
  <c r="K49" i="26"/>
  <c r="J49" i="26"/>
  <c r="I49" i="26"/>
  <c r="H49" i="26"/>
  <c r="G49" i="26"/>
  <c r="F49" i="26"/>
  <c r="E49" i="26"/>
  <c r="D49" i="26"/>
  <c r="C49" i="26"/>
  <c r="N48" i="26"/>
  <c r="M48" i="26"/>
  <c r="L48" i="26"/>
  <c r="K48" i="26"/>
  <c r="J48" i="26"/>
  <c r="I48" i="26"/>
  <c r="H48" i="26"/>
  <c r="G48" i="26"/>
  <c r="F48" i="26"/>
  <c r="E48" i="26"/>
  <c r="D48" i="26"/>
  <c r="C48" i="26"/>
  <c r="N47" i="26"/>
  <c r="M47" i="26"/>
  <c r="L47" i="26"/>
  <c r="K47" i="26"/>
  <c r="J47" i="26"/>
  <c r="I47" i="26"/>
  <c r="H47" i="26"/>
  <c r="G47" i="26"/>
  <c r="F47" i="26"/>
  <c r="E47" i="26"/>
  <c r="D47" i="26"/>
  <c r="C47" i="26"/>
  <c r="N46" i="26"/>
  <c r="M46" i="26"/>
  <c r="L46" i="26"/>
  <c r="K46" i="26"/>
  <c r="J46" i="26"/>
  <c r="I46" i="26"/>
  <c r="H46" i="26"/>
  <c r="G46" i="26"/>
  <c r="F46" i="26"/>
  <c r="E46" i="26"/>
  <c r="D46" i="26"/>
  <c r="C46" i="26"/>
  <c r="N45" i="26"/>
  <c r="M45" i="26"/>
  <c r="L45" i="26"/>
  <c r="K45" i="26"/>
  <c r="J45" i="26"/>
  <c r="I45" i="26"/>
  <c r="H45" i="26"/>
  <c r="G45" i="26"/>
  <c r="F45" i="26"/>
  <c r="E45" i="26"/>
  <c r="D45" i="26"/>
  <c r="C45" i="26"/>
  <c r="N44" i="26"/>
  <c r="M44" i="26"/>
  <c r="L44" i="26"/>
  <c r="K44" i="26"/>
  <c r="J44" i="26"/>
  <c r="I44" i="26"/>
  <c r="H44" i="26"/>
  <c r="G44" i="26"/>
  <c r="F44" i="26"/>
  <c r="E44" i="26"/>
  <c r="D44" i="26"/>
  <c r="C44" i="26"/>
  <c r="N43" i="26"/>
  <c r="M43" i="26"/>
  <c r="L43" i="26"/>
  <c r="K43" i="26"/>
  <c r="J43" i="26"/>
  <c r="I43" i="26"/>
  <c r="H43" i="26"/>
  <c r="G43" i="26"/>
  <c r="F43" i="26"/>
  <c r="E43" i="26"/>
  <c r="D43" i="26"/>
  <c r="C43" i="26"/>
  <c r="N42" i="26"/>
  <c r="M42" i="26"/>
  <c r="L42" i="26"/>
  <c r="K42" i="26"/>
  <c r="J42" i="26"/>
  <c r="I42" i="26"/>
  <c r="H42" i="26"/>
  <c r="G42" i="26"/>
  <c r="F42" i="26"/>
  <c r="E42" i="26"/>
  <c r="D42" i="26"/>
  <c r="C42" i="26"/>
  <c r="N41" i="26"/>
  <c r="M41" i="26"/>
  <c r="L41" i="26"/>
  <c r="K41" i="26"/>
  <c r="J41" i="26"/>
  <c r="I41" i="26"/>
  <c r="H41" i="26"/>
  <c r="G41" i="26"/>
  <c r="F41" i="26"/>
  <c r="E41" i="26"/>
  <c r="D41" i="26"/>
  <c r="C41" i="26"/>
  <c r="N40" i="26"/>
  <c r="M40" i="26"/>
  <c r="L40" i="26"/>
  <c r="K40" i="26"/>
  <c r="J40" i="26"/>
  <c r="I40" i="26"/>
  <c r="H40" i="26"/>
  <c r="G40" i="26"/>
  <c r="F40" i="26"/>
  <c r="E40" i="26"/>
  <c r="D40" i="26"/>
  <c r="C40" i="26"/>
  <c r="N39" i="26"/>
  <c r="M39" i="26"/>
  <c r="L39" i="26"/>
  <c r="K39" i="26"/>
  <c r="J39" i="26"/>
  <c r="I39" i="26"/>
  <c r="H39" i="26"/>
  <c r="G39" i="26"/>
  <c r="F39" i="26"/>
  <c r="E39" i="26"/>
  <c r="D39" i="26"/>
  <c r="C39" i="26"/>
  <c r="N50" i="25"/>
  <c r="M50" i="25"/>
  <c r="L50" i="25"/>
  <c r="K50" i="25"/>
  <c r="J50" i="25"/>
  <c r="I50" i="25"/>
  <c r="H50" i="25"/>
  <c r="G50" i="25"/>
  <c r="F50" i="25"/>
  <c r="E50" i="25"/>
  <c r="D50" i="25"/>
  <c r="C50" i="25"/>
  <c r="N49" i="25"/>
  <c r="M49" i="25"/>
  <c r="L49" i="25"/>
  <c r="K49" i="25"/>
  <c r="J49" i="25"/>
  <c r="I49" i="25"/>
  <c r="H49" i="25"/>
  <c r="G49" i="25"/>
  <c r="F49" i="25"/>
  <c r="E49" i="25"/>
  <c r="D49" i="25"/>
  <c r="C49" i="25"/>
  <c r="N48" i="25"/>
  <c r="M48" i="25"/>
  <c r="L48" i="25"/>
  <c r="K48" i="25"/>
  <c r="J48" i="25"/>
  <c r="I48" i="25"/>
  <c r="H48" i="25"/>
  <c r="G48" i="25"/>
  <c r="F48" i="25"/>
  <c r="E48" i="25"/>
  <c r="D48" i="25"/>
  <c r="C48" i="25"/>
  <c r="N47" i="25"/>
  <c r="M47" i="25"/>
  <c r="L47" i="25"/>
  <c r="K47" i="25"/>
  <c r="J47" i="25"/>
  <c r="I47" i="25"/>
  <c r="H47" i="25"/>
  <c r="G47" i="25"/>
  <c r="F47" i="25"/>
  <c r="E47" i="25"/>
  <c r="D47" i="25"/>
  <c r="C47" i="25"/>
  <c r="N46" i="25"/>
  <c r="M46" i="25"/>
  <c r="L46" i="25"/>
  <c r="K46" i="25"/>
  <c r="J46" i="25"/>
  <c r="I46" i="25"/>
  <c r="H46" i="25"/>
  <c r="G46" i="25"/>
  <c r="F46" i="25"/>
  <c r="E46" i="25"/>
  <c r="D46" i="25"/>
  <c r="C46" i="25"/>
  <c r="N45" i="25"/>
  <c r="M45" i="25"/>
  <c r="L45" i="25"/>
  <c r="K45" i="25"/>
  <c r="J45" i="25"/>
  <c r="I45" i="25"/>
  <c r="H45" i="25"/>
  <c r="G45" i="25"/>
  <c r="F45" i="25"/>
  <c r="E45" i="25"/>
  <c r="D45" i="25"/>
  <c r="C45" i="25"/>
  <c r="N44" i="25"/>
  <c r="M44" i="25"/>
  <c r="L44" i="25"/>
  <c r="K44" i="25"/>
  <c r="J44" i="25"/>
  <c r="I44" i="25"/>
  <c r="H44" i="25"/>
  <c r="G44" i="25"/>
  <c r="F44" i="25"/>
  <c r="E44" i="25"/>
  <c r="D44" i="25"/>
  <c r="C44" i="25"/>
  <c r="N43" i="25"/>
  <c r="M43" i="25"/>
  <c r="L43" i="25"/>
  <c r="K43" i="25"/>
  <c r="J43" i="25"/>
  <c r="I43" i="25"/>
  <c r="H43" i="25"/>
  <c r="G43" i="25"/>
  <c r="F43" i="25"/>
  <c r="E43" i="25"/>
  <c r="D43" i="25"/>
  <c r="C43" i="25"/>
  <c r="N42" i="25"/>
  <c r="M42" i="25"/>
  <c r="L42" i="25"/>
  <c r="K42" i="25"/>
  <c r="J42" i="25"/>
  <c r="I42" i="25"/>
  <c r="H42" i="25"/>
  <c r="G42" i="25"/>
  <c r="F42" i="25"/>
  <c r="E42" i="25"/>
  <c r="D42" i="25"/>
  <c r="C42" i="25"/>
  <c r="N41" i="25"/>
  <c r="M41" i="25"/>
  <c r="L41" i="25"/>
  <c r="K41" i="25"/>
  <c r="J41" i="25"/>
  <c r="I41" i="25"/>
  <c r="H41" i="25"/>
  <c r="G41" i="25"/>
  <c r="F41" i="25"/>
  <c r="E41" i="25"/>
  <c r="D41" i="25"/>
  <c r="C41" i="25"/>
  <c r="N40" i="25"/>
  <c r="M40" i="25"/>
  <c r="L40" i="25"/>
  <c r="K40" i="25"/>
  <c r="J40" i="25"/>
  <c r="I40" i="25"/>
  <c r="H40" i="25"/>
  <c r="G40" i="25"/>
  <c r="F40" i="25"/>
  <c r="E40" i="25"/>
  <c r="D40" i="25"/>
  <c r="C40" i="25"/>
  <c r="N39" i="25"/>
  <c r="M39" i="25"/>
  <c r="L39" i="25"/>
  <c r="K39" i="25"/>
  <c r="J39" i="25"/>
  <c r="I39" i="25"/>
  <c r="H39" i="25"/>
  <c r="G39" i="25"/>
  <c r="F39" i="25"/>
  <c r="E39" i="25"/>
  <c r="D39" i="25"/>
  <c r="C39" i="25"/>
  <c r="N50" i="24"/>
  <c r="M50" i="24"/>
  <c r="L50" i="24"/>
  <c r="K50" i="24"/>
  <c r="J50" i="24"/>
  <c r="I50" i="24"/>
  <c r="H50" i="24"/>
  <c r="G50" i="24"/>
  <c r="F50" i="24"/>
  <c r="E50" i="24"/>
  <c r="D50" i="24"/>
  <c r="C50" i="24"/>
  <c r="N49" i="24"/>
  <c r="M49" i="24"/>
  <c r="L49" i="24"/>
  <c r="K49" i="24"/>
  <c r="J49" i="24"/>
  <c r="I49" i="24"/>
  <c r="H49" i="24"/>
  <c r="G49" i="24"/>
  <c r="F49" i="24"/>
  <c r="E49" i="24"/>
  <c r="D49" i="24"/>
  <c r="C49" i="24"/>
  <c r="N48" i="24"/>
  <c r="M48" i="24"/>
  <c r="L48" i="24"/>
  <c r="K48" i="24"/>
  <c r="J48" i="24"/>
  <c r="I48" i="24"/>
  <c r="H48" i="24"/>
  <c r="G48" i="24"/>
  <c r="F48" i="24"/>
  <c r="E48" i="24"/>
  <c r="D48" i="24"/>
  <c r="C48" i="24"/>
  <c r="N47" i="24"/>
  <c r="M47" i="24"/>
  <c r="L47" i="24"/>
  <c r="K47" i="24"/>
  <c r="J47" i="24"/>
  <c r="I47" i="24"/>
  <c r="H47" i="24"/>
  <c r="G47" i="24"/>
  <c r="F47" i="24"/>
  <c r="E47" i="24"/>
  <c r="D47" i="24"/>
  <c r="C47" i="24"/>
  <c r="N46" i="24"/>
  <c r="M46" i="24"/>
  <c r="L46" i="24"/>
  <c r="K46" i="24"/>
  <c r="J46" i="24"/>
  <c r="I46" i="24"/>
  <c r="H46" i="24"/>
  <c r="G46" i="24"/>
  <c r="F46" i="24"/>
  <c r="E46" i="24"/>
  <c r="D46" i="24"/>
  <c r="C46" i="24"/>
  <c r="N45" i="24"/>
  <c r="M45" i="24"/>
  <c r="L45" i="24"/>
  <c r="K45" i="24"/>
  <c r="J45" i="24"/>
  <c r="I45" i="24"/>
  <c r="H45" i="24"/>
  <c r="G45" i="24"/>
  <c r="F45" i="24"/>
  <c r="E45" i="24"/>
  <c r="D45" i="24"/>
  <c r="C45" i="24"/>
  <c r="N44" i="24"/>
  <c r="M44" i="24"/>
  <c r="L44" i="24"/>
  <c r="K44" i="24"/>
  <c r="J44" i="24"/>
  <c r="I44" i="24"/>
  <c r="H44" i="24"/>
  <c r="G44" i="24"/>
  <c r="F44" i="24"/>
  <c r="E44" i="24"/>
  <c r="D44" i="24"/>
  <c r="C44" i="24"/>
  <c r="N43" i="24"/>
  <c r="M43" i="24"/>
  <c r="L43" i="24"/>
  <c r="K43" i="24"/>
  <c r="J43" i="24"/>
  <c r="I43" i="24"/>
  <c r="H43" i="24"/>
  <c r="G43" i="24"/>
  <c r="F43" i="24"/>
  <c r="E43" i="24"/>
  <c r="D43" i="24"/>
  <c r="C43" i="24"/>
  <c r="N42" i="24"/>
  <c r="M42" i="24"/>
  <c r="L42" i="24"/>
  <c r="K42" i="24"/>
  <c r="J42" i="24"/>
  <c r="I42" i="24"/>
  <c r="H42" i="24"/>
  <c r="G42" i="24"/>
  <c r="F42" i="24"/>
  <c r="E42" i="24"/>
  <c r="D42" i="24"/>
  <c r="C42" i="24"/>
  <c r="N41" i="24"/>
  <c r="M41" i="24"/>
  <c r="L41" i="24"/>
  <c r="K41" i="24"/>
  <c r="J41" i="24"/>
  <c r="I41" i="24"/>
  <c r="H41" i="24"/>
  <c r="G41" i="24"/>
  <c r="F41" i="24"/>
  <c r="E41" i="24"/>
  <c r="D41" i="24"/>
  <c r="C41" i="24"/>
  <c r="N40" i="24"/>
  <c r="M40" i="24"/>
  <c r="L40" i="24"/>
  <c r="K40" i="24"/>
  <c r="J40" i="24"/>
  <c r="I40" i="24"/>
  <c r="H40" i="24"/>
  <c r="G40" i="24"/>
  <c r="F40" i="24"/>
  <c r="E40" i="24"/>
  <c r="D40" i="24"/>
  <c r="C40" i="24"/>
  <c r="N39" i="24"/>
  <c r="M39" i="24"/>
  <c r="L39" i="24"/>
  <c r="K39" i="24"/>
  <c r="J39" i="24"/>
  <c r="I39" i="24"/>
  <c r="H39" i="24"/>
  <c r="G39" i="24"/>
  <c r="F39" i="24"/>
  <c r="E39" i="24"/>
  <c r="D39" i="24"/>
  <c r="C39" i="24"/>
  <c r="N50" i="23"/>
  <c r="M50" i="23"/>
  <c r="L50" i="23"/>
  <c r="K50" i="23"/>
  <c r="J50" i="23"/>
  <c r="I50" i="23"/>
  <c r="H50" i="23"/>
  <c r="G50" i="23"/>
  <c r="F50" i="23"/>
  <c r="E50" i="23"/>
  <c r="D50" i="23"/>
  <c r="C50" i="23"/>
  <c r="N49" i="23"/>
  <c r="M49" i="23"/>
  <c r="L49" i="23"/>
  <c r="K49" i="23"/>
  <c r="J49" i="23"/>
  <c r="I49" i="23"/>
  <c r="H49" i="23"/>
  <c r="G49" i="23"/>
  <c r="F49" i="23"/>
  <c r="E49" i="23"/>
  <c r="D49" i="23"/>
  <c r="C49" i="23"/>
  <c r="N48" i="23"/>
  <c r="M48" i="23"/>
  <c r="L48" i="23"/>
  <c r="K48" i="23"/>
  <c r="J48" i="23"/>
  <c r="I48" i="23"/>
  <c r="H48" i="23"/>
  <c r="G48" i="23"/>
  <c r="F48" i="23"/>
  <c r="E48" i="23"/>
  <c r="D48" i="23"/>
  <c r="C48" i="23"/>
  <c r="N47" i="23"/>
  <c r="M47" i="23"/>
  <c r="L47" i="23"/>
  <c r="K47" i="23"/>
  <c r="J47" i="23"/>
  <c r="I47" i="23"/>
  <c r="H47" i="23"/>
  <c r="G47" i="23"/>
  <c r="F47" i="23"/>
  <c r="E47" i="23"/>
  <c r="D47" i="23"/>
  <c r="C47" i="23"/>
  <c r="N46" i="23"/>
  <c r="M46" i="23"/>
  <c r="L46" i="23"/>
  <c r="K46" i="23"/>
  <c r="J46" i="23"/>
  <c r="I46" i="23"/>
  <c r="H46" i="23"/>
  <c r="G46" i="23"/>
  <c r="F46" i="23"/>
  <c r="E46" i="23"/>
  <c r="D46" i="23"/>
  <c r="C46" i="23"/>
  <c r="N45" i="23"/>
  <c r="M45" i="23"/>
  <c r="L45" i="23"/>
  <c r="K45" i="23"/>
  <c r="J45" i="23"/>
  <c r="I45" i="23"/>
  <c r="H45" i="23"/>
  <c r="G45" i="23"/>
  <c r="F45" i="23"/>
  <c r="E45" i="23"/>
  <c r="D45" i="23"/>
  <c r="C45" i="23"/>
  <c r="N44" i="23"/>
  <c r="M44" i="23"/>
  <c r="L44" i="23"/>
  <c r="K44" i="23"/>
  <c r="J44" i="23"/>
  <c r="I44" i="23"/>
  <c r="H44" i="23"/>
  <c r="G44" i="23"/>
  <c r="F44" i="23"/>
  <c r="E44" i="23"/>
  <c r="D44" i="23"/>
  <c r="C44" i="23"/>
  <c r="N43" i="23"/>
  <c r="M43" i="23"/>
  <c r="L43" i="23"/>
  <c r="K43" i="23"/>
  <c r="J43" i="23"/>
  <c r="I43" i="23"/>
  <c r="H43" i="23"/>
  <c r="G43" i="23"/>
  <c r="F43" i="23"/>
  <c r="E43" i="23"/>
  <c r="D43" i="23"/>
  <c r="C43" i="23"/>
  <c r="N42" i="23"/>
  <c r="M42" i="23"/>
  <c r="L42" i="23"/>
  <c r="K42" i="23"/>
  <c r="J42" i="23"/>
  <c r="I42" i="23"/>
  <c r="H42" i="23"/>
  <c r="G42" i="23"/>
  <c r="F42" i="23"/>
  <c r="E42" i="23"/>
  <c r="D42" i="23"/>
  <c r="C42" i="23"/>
  <c r="N41" i="23"/>
  <c r="M41" i="23"/>
  <c r="L41" i="23"/>
  <c r="K41" i="23"/>
  <c r="J41" i="23"/>
  <c r="I41" i="23"/>
  <c r="H41" i="23"/>
  <c r="G41" i="23"/>
  <c r="F41" i="23"/>
  <c r="E41" i="23"/>
  <c r="D41" i="23"/>
  <c r="C41" i="23"/>
  <c r="N40" i="23"/>
  <c r="M40" i="23"/>
  <c r="L40" i="23"/>
  <c r="K40" i="23"/>
  <c r="J40" i="23"/>
  <c r="I40" i="23"/>
  <c r="H40" i="23"/>
  <c r="G40" i="23"/>
  <c r="F40" i="23"/>
  <c r="E40" i="23"/>
  <c r="D40" i="23"/>
  <c r="C40" i="23"/>
  <c r="N39" i="23"/>
  <c r="M39" i="23"/>
  <c r="L39" i="23"/>
  <c r="K39" i="23"/>
  <c r="J39" i="23"/>
  <c r="I39" i="23"/>
  <c r="H39" i="23"/>
  <c r="G39" i="23"/>
  <c r="F39" i="23"/>
  <c r="E39" i="23"/>
  <c r="D39" i="23"/>
  <c r="C39" i="23"/>
  <c r="N50" i="22"/>
  <c r="M50" i="22"/>
  <c r="L50" i="22"/>
  <c r="K50" i="22"/>
  <c r="J50" i="22"/>
  <c r="I50" i="22"/>
  <c r="H50" i="22"/>
  <c r="G50" i="22"/>
  <c r="F50" i="22"/>
  <c r="E50" i="22"/>
  <c r="D50" i="22"/>
  <c r="C50" i="22"/>
  <c r="N49" i="22"/>
  <c r="M49" i="22"/>
  <c r="L49" i="22"/>
  <c r="K49" i="22"/>
  <c r="J49" i="22"/>
  <c r="I49" i="22"/>
  <c r="H49" i="22"/>
  <c r="G49" i="22"/>
  <c r="F49" i="22"/>
  <c r="E49" i="22"/>
  <c r="D49" i="22"/>
  <c r="C49" i="22"/>
  <c r="N48" i="22"/>
  <c r="M48" i="22"/>
  <c r="L48" i="22"/>
  <c r="K48" i="22"/>
  <c r="J48" i="22"/>
  <c r="I48" i="22"/>
  <c r="H48" i="22"/>
  <c r="G48" i="22"/>
  <c r="F48" i="22"/>
  <c r="E48" i="22"/>
  <c r="D48" i="22"/>
  <c r="C48" i="22"/>
  <c r="N47" i="22"/>
  <c r="M47" i="22"/>
  <c r="L47" i="22"/>
  <c r="K47" i="22"/>
  <c r="J47" i="22"/>
  <c r="I47" i="22"/>
  <c r="H47" i="22"/>
  <c r="G47" i="22"/>
  <c r="F47" i="22"/>
  <c r="E47" i="22"/>
  <c r="D47" i="22"/>
  <c r="C47" i="22"/>
  <c r="N46" i="22"/>
  <c r="M46" i="22"/>
  <c r="L46" i="22"/>
  <c r="K46" i="22"/>
  <c r="J46" i="22"/>
  <c r="I46" i="22"/>
  <c r="H46" i="22"/>
  <c r="G46" i="22"/>
  <c r="F46" i="22"/>
  <c r="E46" i="22"/>
  <c r="D46" i="22"/>
  <c r="C46" i="22"/>
  <c r="N45" i="22"/>
  <c r="M45" i="22"/>
  <c r="L45" i="22"/>
  <c r="K45" i="22"/>
  <c r="J45" i="22"/>
  <c r="I45" i="22"/>
  <c r="H45" i="22"/>
  <c r="G45" i="22"/>
  <c r="F45" i="22"/>
  <c r="E45" i="22"/>
  <c r="D45" i="22"/>
  <c r="C45" i="22"/>
  <c r="N44" i="22"/>
  <c r="M44" i="22"/>
  <c r="L44" i="22"/>
  <c r="K44" i="22"/>
  <c r="J44" i="22"/>
  <c r="I44" i="22"/>
  <c r="H44" i="22"/>
  <c r="G44" i="22"/>
  <c r="F44" i="22"/>
  <c r="E44" i="22"/>
  <c r="D44" i="22"/>
  <c r="C44" i="22"/>
  <c r="N43" i="22"/>
  <c r="M43" i="22"/>
  <c r="L43" i="22"/>
  <c r="K43" i="22"/>
  <c r="J43" i="22"/>
  <c r="I43" i="22"/>
  <c r="H43" i="22"/>
  <c r="G43" i="22"/>
  <c r="F43" i="22"/>
  <c r="E43" i="22"/>
  <c r="D43" i="22"/>
  <c r="C43" i="22"/>
  <c r="N42" i="22"/>
  <c r="M42" i="22"/>
  <c r="L42" i="22"/>
  <c r="K42" i="22"/>
  <c r="J42" i="22"/>
  <c r="I42" i="22"/>
  <c r="H42" i="22"/>
  <c r="G42" i="22"/>
  <c r="F42" i="22"/>
  <c r="E42" i="22"/>
  <c r="D42" i="22"/>
  <c r="C42" i="22"/>
  <c r="N41" i="22"/>
  <c r="M41" i="22"/>
  <c r="L41" i="22"/>
  <c r="K41" i="22"/>
  <c r="J41" i="22"/>
  <c r="I41" i="22"/>
  <c r="H41" i="22"/>
  <c r="G41" i="22"/>
  <c r="F41" i="22"/>
  <c r="E41" i="22"/>
  <c r="D41" i="22"/>
  <c r="C41" i="22"/>
  <c r="N40" i="22"/>
  <c r="M40" i="22"/>
  <c r="L40" i="22"/>
  <c r="K40" i="22"/>
  <c r="J40" i="22"/>
  <c r="I40" i="22"/>
  <c r="H40" i="22"/>
  <c r="G40" i="22"/>
  <c r="F40" i="22"/>
  <c r="E40" i="22"/>
  <c r="D40" i="22"/>
  <c r="C40" i="22"/>
  <c r="N39" i="22"/>
  <c r="M39" i="22"/>
  <c r="L39" i="22"/>
  <c r="K39" i="22"/>
  <c r="J39" i="22"/>
  <c r="I39" i="22"/>
  <c r="H39" i="22"/>
  <c r="G39" i="22"/>
  <c r="F39" i="22"/>
  <c r="E39" i="22"/>
  <c r="D39" i="22"/>
  <c r="C39" i="22"/>
  <c r="N50" i="21"/>
  <c r="M50" i="21"/>
  <c r="L50" i="21"/>
  <c r="K50" i="21"/>
  <c r="J50" i="21"/>
  <c r="I50" i="21"/>
  <c r="H50" i="21"/>
  <c r="G50" i="21"/>
  <c r="F50" i="21"/>
  <c r="E50" i="21"/>
  <c r="D50" i="21"/>
  <c r="C50" i="21"/>
  <c r="N49" i="21"/>
  <c r="M49" i="21"/>
  <c r="L49" i="21"/>
  <c r="K49" i="21"/>
  <c r="J49" i="21"/>
  <c r="I49" i="21"/>
  <c r="H49" i="21"/>
  <c r="G49" i="21"/>
  <c r="F49" i="21"/>
  <c r="E49" i="21"/>
  <c r="D49" i="21"/>
  <c r="C49" i="21"/>
  <c r="N48" i="21"/>
  <c r="M48" i="21"/>
  <c r="L48" i="21"/>
  <c r="K48" i="21"/>
  <c r="J48" i="21"/>
  <c r="I48" i="21"/>
  <c r="H48" i="21"/>
  <c r="G48" i="21"/>
  <c r="F48" i="21"/>
  <c r="E48" i="21"/>
  <c r="D48" i="21"/>
  <c r="C48" i="21"/>
  <c r="N47" i="21"/>
  <c r="M47" i="21"/>
  <c r="L47" i="21"/>
  <c r="K47" i="21"/>
  <c r="J47" i="21"/>
  <c r="I47" i="21"/>
  <c r="H47" i="21"/>
  <c r="G47" i="21"/>
  <c r="F47" i="21"/>
  <c r="E47" i="21"/>
  <c r="D47" i="21"/>
  <c r="C47" i="21"/>
  <c r="N46" i="21"/>
  <c r="M46" i="21"/>
  <c r="L46" i="21"/>
  <c r="K46" i="21"/>
  <c r="J46" i="21"/>
  <c r="I46" i="21"/>
  <c r="H46" i="21"/>
  <c r="G46" i="21"/>
  <c r="F46" i="21"/>
  <c r="E46" i="21"/>
  <c r="D46" i="21"/>
  <c r="C46" i="21"/>
  <c r="N45" i="21"/>
  <c r="M45" i="21"/>
  <c r="L45" i="21"/>
  <c r="K45" i="21"/>
  <c r="J45" i="21"/>
  <c r="I45" i="21"/>
  <c r="H45" i="21"/>
  <c r="G45" i="21"/>
  <c r="F45" i="21"/>
  <c r="E45" i="21"/>
  <c r="D45" i="21"/>
  <c r="C45" i="21"/>
  <c r="N44" i="21"/>
  <c r="M44" i="21"/>
  <c r="L44" i="21"/>
  <c r="K44" i="21"/>
  <c r="J44" i="21"/>
  <c r="I44" i="21"/>
  <c r="H44" i="21"/>
  <c r="G44" i="21"/>
  <c r="F44" i="21"/>
  <c r="E44" i="21"/>
  <c r="D44" i="21"/>
  <c r="C44" i="21"/>
  <c r="N43" i="21"/>
  <c r="M43" i="21"/>
  <c r="L43" i="21"/>
  <c r="K43" i="21"/>
  <c r="J43" i="21"/>
  <c r="I43" i="21"/>
  <c r="H43" i="21"/>
  <c r="G43" i="21"/>
  <c r="F43" i="21"/>
  <c r="E43" i="21"/>
  <c r="D43" i="21"/>
  <c r="C43" i="21"/>
  <c r="N42" i="21"/>
  <c r="M42" i="21"/>
  <c r="L42" i="21"/>
  <c r="K42" i="21"/>
  <c r="J42" i="21"/>
  <c r="I42" i="21"/>
  <c r="H42" i="21"/>
  <c r="G42" i="21"/>
  <c r="F42" i="21"/>
  <c r="E42" i="21"/>
  <c r="D42" i="21"/>
  <c r="C42" i="21"/>
  <c r="N41" i="21"/>
  <c r="M41" i="21"/>
  <c r="L41" i="21"/>
  <c r="K41" i="21"/>
  <c r="J41" i="21"/>
  <c r="I41" i="21"/>
  <c r="H41" i="21"/>
  <c r="G41" i="21"/>
  <c r="F41" i="21"/>
  <c r="E41" i="21"/>
  <c r="D41" i="21"/>
  <c r="C41" i="21"/>
  <c r="N40" i="21"/>
  <c r="M40" i="21"/>
  <c r="L40" i="21"/>
  <c r="K40" i="21"/>
  <c r="J40" i="21"/>
  <c r="I40" i="21"/>
  <c r="H40" i="21"/>
  <c r="G40" i="21"/>
  <c r="F40" i="21"/>
  <c r="E40" i="21"/>
  <c r="D40" i="21"/>
  <c r="C40" i="21"/>
  <c r="N39" i="21"/>
  <c r="M39" i="21"/>
  <c r="L39" i="21"/>
  <c r="K39" i="21"/>
  <c r="J39" i="21"/>
  <c r="I39" i="21"/>
  <c r="H39" i="21"/>
  <c r="G39" i="21"/>
  <c r="F39" i="21"/>
  <c r="E39" i="21"/>
  <c r="D39" i="21"/>
  <c r="C39" i="21"/>
  <c r="N50" i="20"/>
  <c r="M50" i="20"/>
  <c r="L50" i="20"/>
  <c r="K50" i="20"/>
  <c r="J50" i="20"/>
  <c r="I50" i="20"/>
  <c r="H50" i="20"/>
  <c r="G50" i="20"/>
  <c r="F50" i="20"/>
  <c r="E50" i="20"/>
  <c r="D50" i="20"/>
  <c r="C50" i="20"/>
  <c r="N49" i="20"/>
  <c r="M49" i="20"/>
  <c r="L49" i="20"/>
  <c r="K49" i="20"/>
  <c r="J49" i="20"/>
  <c r="I49" i="20"/>
  <c r="H49" i="20"/>
  <c r="G49" i="20"/>
  <c r="F49" i="20"/>
  <c r="E49" i="20"/>
  <c r="D49" i="20"/>
  <c r="C49" i="20"/>
  <c r="N48" i="20"/>
  <c r="M48" i="20"/>
  <c r="L48" i="20"/>
  <c r="K48" i="20"/>
  <c r="J48" i="20"/>
  <c r="I48" i="20"/>
  <c r="H48" i="20"/>
  <c r="G48" i="20"/>
  <c r="F48" i="20"/>
  <c r="E48" i="20"/>
  <c r="D48" i="20"/>
  <c r="C48" i="20"/>
  <c r="N47" i="20"/>
  <c r="M47" i="20"/>
  <c r="L47" i="20"/>
  <c r="K47" i="20"/>
  <c r="J47" i="20"/>
  <c r="I47" i="20"/>
  <c r="H47" i="20"/>
  <c r="G47" i="20"/>
  <c r="F47" i="20"/>
  <c r="E47" i="20"/>
  <c r="D47" i="20"/>
  <c r="C47" i="20"/>
  <c r="N46" i="20"/>
  <c r="M46" i="20"/>
  <c r="L46" i="20"/>
  <c r="K46" i="20"/>
  <c r="J46" i="20"/>
  <c r="I46" i="20"/>
  <c r="H46" i="20"/>
  <c r="G46" i="20"/>
  <c r="F46" i="20"/>
  <c r="E46" i="20"/>
  <c r="D46" i="20"/>
  <c r="C46" i="20"/>
  <c r="N45" i="20"/>
  <c r="M45" i="20"/>
  <c r="L45" i="20"/>
  <c r="K45" i="20"/>
  <c r="J45" i="20"/>
  <c r="I45" i="20"/>
  <c r="H45" i="20"/>
  <c r="G45" i="20"/>
  <c r="F45" i="20"/>
  <c r="E45" i="20"/>
  <c r="D45" i="20"/>
  <c r="C45" i="20"/>
  <c r="N44" i="20"/>
  <c r="M44" i="20"/>
  <c r="L44" i="20"/>
  <c r="K44" i="20"/>
  <c r="J44" i="20"/>
  <c r="I44" i="20"/>
  <c r="H44" i="20"/>
  <c r="G44" i="20"/>
  <c r="F44" i="20"/>
  <c r="E44" i="20"/>
  <c r="D44" i="20"/>
  <c r="C44" i="20"/>
  <c r="N43" i="20"/>
  <c r="M43" i="20"/>
  <c r="L43" i="20"/>
  <c r="K43" i="20"/>
  <c r="J43" i="20"/>
  <c r="I43" i="20"/>
  <c r="H43" i="20"/>
  <c r="G43" i="20"/>
  <c r="F43" i="20"/>
  <c r="E43" i="20"/>
  <c r="D43" i="20"/>
  <c r="C43" i="20"/>
  <c r="N42" i="20"/>
  <c r="M42" i="20"/>
  <c r="L42" i="20"/>
  <c r="K42" i="20"/>
  <c r="J42" i="20"/>
  <c r="I42" i="20"/>
  <c r="H42" i="20"/>
  <c r="G42" i="20"/>
  <c r="F42" i="20"/>
  <c r="E42" i="20"/>
  <c r="D42" i="20"/>
  <c r="C42" i="20"/>
  <c r="N41" i="20"/>
  <c r="M41" i="20"/>
  <c r="L41" i="20"/>
  <c r="K41" i="20"/>
  <c r="J41" i="20"/>
  <c r="I41" i="20"/>
  <c r="H41" i="20"/>
  <c r="G41" i="20"/>
  <c r="F41" i="20"/>
  <c r="E41" i="20"/>
  <c r="D41" i="20"/>
  <c r="C41" i="20"/>
  <c r="N40" i="20"/>
  <c r="M40" i="20"/>
  <c r="L40" i="20"/>
  <c r="K40" i="20"/>
  <c r="J40" i="20"/>
  <c r="I40" i="20"/>
  <c r="H40" i="20"/>
  <c r="G40" i="20"/>
  <c r="F40" i="20"/>
  <c r="E40" i="20"/>
  <c r="D40" i="20"/>
  <c r="C40" i="20"/>
  <c r="N39" i="20"/>
  <c r="M39" i="20"/>
  <c r="L39" i="20"/>
  <c r="K39" i="20"/>
  <c r="J39" i="20"/>
  <c r="I39" i="20"/>
  <c r="H39" i="20"/>
  <c r="G39" i="20"/>
  <c r="F39" i="20"/>
  <c r="E39" i="20"/>
  <c r="D39" i="20"/>
  <c r="C39" i="20"/>
  <c r="N50" i="19"/>
  <c r="M50" i="19"/>
  <c r="L50" i="19"/>
  <c r="K50" i="19"/>
  <c r="J50" i="19"/>
  <c r="I50" i="19"/>
  <c r="H50" i="19"/>
  <c r="G50" i="19"/>
  <c r="F50" i="19"/>
  <c r="E50" i="19"/>
  <c r="D50" i="19"/>
  <c r="C50" i="19"/>
  <c r="N49" i="19"/>
  <c r="M49" i="19"/>
  <c r="L49" i="19"/>
  <c r="K49" i="19"/>
  <c r="J49" i="19"/>
  <c r="I49" i="19"/>
  <c r="H49" i="19"/>
  <c r="G49" i="19"/>
  <c r="F49" i="19"/>
  <c r="E49" i="19"/>
  <c r="D49" i="19"/>
  <c r="C49" i="19"/>
  <c r="N48" i="19"/>
  <c r="M48" i="19"/>
  <c r="L48" i="19"/>
  <c r="K48" i="19"/>
  <c r="J48" i="19"/>
  <c r="I48" i="19"/>
  <c r="H48" i="19"/>
  <c r="G48" i="19"/>
  <c r="F48" i="19"/>
  <c r="E48" i="19"/>
  <c r="D48" i="19"/>
  <c r="C48" i="19"/>
  <c r="N47" i="19"/>
  <c r="M47" i="19"/>
  <c r="L47" i="19"/>
  <c r="K47" i="19"/>
  <c r="J47" i="19"/>
  <c r="I47" i="19"/>
  <c r="H47" i="19"/>
  <c r="G47" i="19"/>
  <c r="F47" i="19"/>
  <c r="E47" i="19"/>
  <c r="D47" i="19"/>
  <c r="C47" i="19"/>
  <c r="N46" i="19"/>
  <c r="M46" i="19"/>
  <c r="L46" i="19"/>
  <c r="K46" i="19"/>
  <c r="J46" i="19"/>
  <c r="I46" i="19"/>
  <c r="H46" i="19"/>
  <c r="G46" i="19"/>
  <c r="F46" i="19"/>
  <c r="E46" i="19"/>
  <c r="D46" i="19"/>
  <c r="C46" i="19"/>
  <c r="N45" i="19"/>
  <c r="M45" i="19"/>
  <c r="L45" i="19"/>
  <c r="K45" i="19"/>
  <c r="J45" i="19"/>
  <c r="I45" i="19"/>
  <c r="H45" i="19"/>
  <c r="G45" i="19"/>
  <c r="F45" i="19"/>
  <c r="E45" i="19"/>
  <c r="D45" i="19"/>
  <c r="C45" i="19"/>
  <c r="N44" i="19"/>
  <c r="M44" i="19"/>
  <c r="L44" i="19"/>
  <c r="K44" i="19"/>
  <c r="J44" i="19"/>
  <c r="I44" i="19"/>
  <c r="H44" i="19"/>
  <c r="G44" i="19"/>
  <c r="F44" i="19"/>
  <c r="E44" i="19"/>
  <c r="D44" i="19"/>
  <c r="C44" i="19"/>
  <c r="N43" i="19"/>
  <c r="M43" i="19"/>
  <c r="L43" i="19"/>
  <c r="K43" i="19"/>
  <c r="J43" i="19"/>
  <c r="I43" i="19"/>
  <c r="H43" i="19"/>
  <c r="G43" i="19"/>
  <c r="F43" i="19"/>
  <c r="E43" i="19"/>
  <c r="D43" i="19"/>
  <c r="C43" i="19"/>
  <c r="N42" i="19"/>
  <c r="M42" i="19"/>
  <c r="L42" i="19"/>
  <c r="K42" i="19"/>
  <c r="J42" i="19"/>
  <c r="I42" i="19"/>
  <c r="H42" i="19"/>
  <c r="G42" i="19"/>
  <c r="F42" i="19"/>
  <c r="E42" i="19"/>
  <c r="D42" i="19"/>
  <c r="C42" i="19"/>
  <c r="N41" i="19"/>
  <c r="M41" i="19"/>
  <c r="L41" i="19"/>
  <c r="K41" i="19"/>
  <c r="J41" i="19"/>
  <c r="I41" i="19"/>
  <c r="H41" i="19"/>
  <c r="G41" i="19"/>
  <c r="F41" i="19"/>
  <c r="E41" i="19"/>
  <c r="D41" i="19"/>
  <c r="C41" i="19"/>
  <c r="N40" i="19"/>
  <c r="M40" i="19"/>
  <c r="L40" i="19"/>
  <c r="K40" i="19"/>
  <c r="J40" i="19"/>
  <c r="I40" i="19"/>
  <c r="H40" i="19"/>
  <c r="G40" i="19"/>
  <c r="F40" i="19"/>
  <c r="E40" i="19"/>
  <c r="D40" i="19"/>
  <c r="C40" i="19"/>
  <c r="N39" i="19"/>
  <c r="M39" i="19"/>
  <c r="L39" i="19"/>
  <c r="K39" i="19"/>
  <c r="J39" i="19"/>
  <c r="I39" i="19"/>
  <c r="H39" i="19"/>
  <c r="G39" i="19"/>
  <c r="F39" i="19"/>
  <c r="E39" i="19"/>
  <c r="D39" i="19"/>
  <c r="C39" i="19"/>
  <c r="N50" i="18"/>
  <c r="M50" i="18"/>
  <c r="L50" i="18"/>
  <c r="K50" i="18"/>
  <c r="J50" i="18"/>
  <c r="I50" i="18"/>
  <c r="H50" i="18"/>
  <c r="G50" i="18"/>
  <c r="F50" i="18"/>
  <c r="E50" i="18"/>
  <c r="D50" i="18"/>
  <c r="C50" i="18"/>
  <c r="N49" i="18"/>
  <c r="M49" i="18"/>
  <c r="L49" i="18"/>
  <c r="K49" i="18"/>
  <c r="J49" i="18"/>
  <c r="I49" i="18"/>
  <c r="H49" i="18"/>
  <c r="G49" i="18"/>
  <c r="F49" i="18"/>
  <c r="E49" i="18"/>
  <c r="D49" i="18"/>
  <c r="C49" i="18"/>
  <c r="N48" i="18"/>
  <c r="M48" i="18"/>
  <c r="L48" i="18"/>
  <c r="K48" i="18"/>
  <c r="J48" i="18"/>
  <c r="I48" i="18"/>
  <c r="H48" i="18"/>
  <c r="G48" i="18"/>
  <c r="F48" i="18"/>
  <c r="E48" i="18"/>
  <c r="D48" i="18"/>
  <c r="C48" i="18"/>
  <c r="N47" i="18"/>
  <c r="M47" i="18"/>
  <c r="L47" i="18"/>
  <c r="K47" i="18"/>
  <c r="J47" i="18"/>
  <c r="I47" i="18"/>
  <c r="H47" i="18"/>
  <c r="G47" i="18"/>
  <c r="F47" i="18"/>
  <c r="E47" i="18"/>
  <c r="D47" i="18"/>
  <c r="C47" i="18"/>
  <c r="N46" i="18"/>
  <c r="M46" i="18"/>
  <c r="L46" i="18"/>
  <c r="K46" i="18"/>
  <c r="J46" i="18"/>
  <c r="I46" i="18"/>
  <c r="H46" i="18"/>
  <c r="G46" i="18"/>
  <c r="F46" i="18"/>
  <c r="E46" i="18"/>
  <c r="D46" i="18"/>
  <c r="C46" i="18"/>
  <c r="N45" i="18"/>
  <c r="M45" i="18"/>
  <c r="L45" i="18"/>
  <c r="K45" i="18"/>
  <c r="J45" i="18"/>
  <c r="I45" i="18"/>
  <c r="H45" i="18"/>
  <c r="G45" i="18"/>
  <c r="F45" i="18"/>
  <c r="E45" i="18"/>
  <c r="D45" i="18"/>
  <c r="C45" i="18"/>
  <c r="N44" i="18"/>
  <c r="M44" i="18"/>
  <c r="L44" i="18"/>
  <c r="K44" i="18"/>
  <c r="J44" i="18"/>
  <c r="I44" i="18"/>
  <c r="H44" i="18"/>
  <c r="G44" i="18"/>
  <c r="F44" i="18"/>
  <c r="E44" i="18"/>
  <c r="D44" i="18"/>
  <c r="C44" i="18"/>
  <c r="N43" i="18"/>
  <c r="M43" i="18"/>
  <c r="L43" i="18"/>
  <c r="K43" i="18"/>
  <c r="J43" i="18"/>
  <c r="I43" i="18"/>
  <c r="H43" i="18"/>
  <c r="G43" i="18"/>
  <c r="F43" i="18"/>
  <c r="E43" i="18"/>
  <c r="D43" i="18"/>
  <c r="C43" i="18"/>
  <c r="N42" i="18"/>
  <c r="M42" i="18"/>
  <c r="L42" i="18"/>
  <c r="K42" i="18"/>
  <c r="J42" i="18"/>
  <c r="I42" i="18"/>
  <c r="H42" i="18"/>
  <c r="G42" i="18"/>
  <c r="F42" i="18"/>
  <c r="E42" i="18"/>
  <c r="D42" i="18"/>
  <c r="C42" i="18"/>
  <c r="N41" i="18"/>
  <c r="M41" i="18"/>
  <c r="L41" i="18"/>
  <c r="K41" i="18"/>
  <c r="J41" i="18"/>
  <c r="I41" i="18"/>
  <c r="H41" i="18"/>
  <c r="G41" i="18"/>
  <c r="F41" i="18"/>
  <c r="E41" i="18"/>
  <c r="D41" i="18"/>
  <c r="C41" i="18"/>
  <c r="N40" i="18"/>
  <c r="M40" i="18"/>
  <c r="L40" i="18"/>
  <c r="K40" i="18"/>
  <c r="J40" i="18"/>
  <c r="I40" i="18"/>
  <c r="H40" i="18"/>
  <c r="G40" i="18"/>
  <c r="F40" i="18"/>
  <c r="E40" i="18"/>
  <c r="D40" i="18"/>
  <c r="C40" i="18"/>
  <c r="N39" i="18"/>
  <c r="M39" i="18"/>
  <c r="L39" i="18"/>
  <c r="K39" i="18"/>
  <c r="J39" i="18"/>
  <c r="I39" i="18"/>
  <c r="H39" i="18"/>
  <c r="G39" i="18"/>
  <c r="F39" i="18"/>
  <c r="E39" i="18"/>
  <c r="D39" i="18"/>
  <c r="C39" i="18"/>
  <c r="N50" i="17"/>
  <c r="M50" i="17"/>
  <c r="L50" i="17"/>
  <c r="K50" i="17"/>
  <c r="J50" i="17"/>
  <c r="I50" i="17"/>
  <c r="H50" i="17"/>
  <c r="G50" i="17"/>
  <c r="F50" i="17"/>
  <c r="E50" i="17"/>
  <c r="D50" i="17"/>
  <c r="C50" i="17"/>
  <c r="N49" i="17"/>
  <c r="M49" i="17"/>
  <c r="L49" i="17"/>
  <c r="K49" i="17"/>
  <c r="J49" i="17"/>
  <c r="I49" i="17"/>
  <c r="H49" i="17"/>
  <c r="G49" i="17"/>
  <c r="F49" i="17"/>
  <c r="E49" i="17"/>
  <c r="D49" i="17"/>
  <c r="C49" i="17"/>
  <c r="N48" i="17"/>
  <c r="M48" i="17"/>
  <c r="L48" i="17"/>
  <c r="K48" i="17"/>
  <c r="J48" i="17"/>
  <c r="I48" i="17"/>
  <c r="H48" i="17"/>
  <c r="G48" i="17"/>
  <c r="F48" i="17"/>
  <c r="E48" i="17"/>
  <c r="D48" i="17"/>
  <c r="C48" i="17"/>
  <c r="N47" i="17"/>
  <c r="M47" i="17"/>
  <c r="L47" i="17"/>
  <c r="K47" i="17"/>
  <c r="J47" i="17"/>
  <c r="I47" i="17"/>
  <c r="H47" i="17"/>
  <c r="G47" i="17"/>
  <c r="F47" i="17"/>
  <c r="E47" i="17"/>
  <c r="D47" i="17"/>
  <c r="C47" i="17"/>
  <c r="N46" i="17"/>
  <c r="M46" i="17"/>
  <c r="L46" i="17"/>
  <c r="K46" i="17"/>
  <c r="J46" i="17"/>
  <c r="I46" i="17"/>
  <c r="H46" i="17"/>
  <c r="G46" i="17"/>
  <c r="F46" i="17"/>
  <c r="E46" i="17"/>
  <c r="D46" i="17"/>
  <c r="C46" i="17"/>
  <c r="N45" i="17"/>
  <c r="M45" i="17"/>
  <c r="L45" i="17"/>
  <c r="K45" i="17"/>
  <c r="J45" i="17"/>
  <c r="I45" i="17"/>
  <c r="H45" i="17"/>
  <c r="G45" i="17"/>
  <c r="F45" i="17"/>
  <c r="E45" i="17"/>
  <c r="D45" i="17"/>
  <c r="C45" i="17"/>
  <c r="N44" i="17"/>
  <c r="M44" i="17"/>
  <c r="L44" i="17"/>
  <c r="K44" i="17"/>
  <c r="J44" i="17"/>
  <c r="I44" i="17"/>
  <c r="H44" i="17"/>
  <c r="G44" i="17"/>
  <c r="F44" i="17"/>
  <c r="E44" i="17"/>
  <c r="D44" i="17"/>
  <c r="C44" i="17"/>
  <c r="N43" i="17"/>
  <c r="M43" i="17"/>
  <c r="L43" i="17"/>
  <c r="K43" i="17"/>
  <c r="J43" i="17"/>
  <c r="I43" i="17"/>
  <c r="H43" i="17"/>
  <c r="G43" i="17"/>
  <c r="F43" i="17"/>
  <c r="E43" i="17"/>
  <c r="D43" i="17"/>
  <c r="C43" i="17"/>
  <c r="N42" i="17"/>
  <c r="M42" i="17"/>
  <c r="L42" i="17"/>
  <c r="K42" i="17"/>
  <c r="J42" i="17"/>
  <c r="I42" i="17"/>
  <c r="H42" i="17"/>
  <c r="G42" i="17"/>
  <c r="F42" i="17"/>
  <c r="E42" i="17"/>
  <c r="D42" i="17"/>
  <c r="C42" i="17"/>
  <c r="N41" i="17"/>
  <c r="M41" i="17"/>
  <c r="L41" i="17"/>
  <c r="K41" i="17"/>
  <c r="J41" i="17"/>
  <c r="I41" i="17"/>
  <c r="H41" i="17"/>
  <c r="G41" i="17"/>
  <c r="F41" i="17"/>
  <c r="E41" i="17"/>
  <c r="D41" i="17"/>
  <c r="C41" i="17"/>
  <c r="N40" i="17"/>
  <c r="M40" i="17"/>
  <c r="L40" i="17"/>
  <c r="K40" i="17"/>
  <c r="J40" i="17"/>
  <c r="I40" i="17"/>
  <c r="H40" i="17"/>
  <c r="G40" i="17"/>
  <c r="F40" i="17"/>
  <c r="E40" i="17"/>
  <c r="D40" i="17"/>
  <c r="C40" i="17"/>
  <c r="N39" i="17"/>
  <c r="M39" i="17"/>
  <c r="L39" i="17"/>
  <c r="K39" i="17"/>
  <c r="J39" i="17"/>
  <c r="I39" i="17"/>
  <c r="H39" i="17"/>
  <c r="G39" i="17"/>
  <c r="F39" i="17"/>
  <c r="E39" i="17"/>
  <c r="D39" i="17"/>
  <c r="C39" i="17"/>
  <c r="N50" i="16"/>
  <c r="M50" i="16"/>
  <c r="L50" i="16"/>
  <c r="K50" i="16"/>
  <c r="J50" i="16"/>
  <c r="I50" i="16"/>
  <c r="H50" i="16"/>
  <c r="G50" i="16"/>
  <c r="F50" i="16"/>
  <c r="E50" i="16"/>
  <c r="D50" i="16"/>
  <c r="C50" i="16"/>
  <c r="N49" i="16"/>
  <c r="M49" i="16"/>
  <c r="L49" i="16"/>
  <c r="K49" i="16"/>
  <c r="J49" i="16"/>
  <c r="I49" i="16"/>
  <c r="H49" i="16"/>
  <c r="G49" i="16"/>
  <c r="F49" i="16"/>
  <c r="E49" i="16"/>
  <c r="D49" i="16"/>
  <c r="C49" i="16"/>
  <c r="N48" i="16"/>
  <c r="M48" i="16"/>
  <c r="L48" i="16"/>
  <c r="K48" i="16"/>
  <c r="J48" i="16"/>
  <c r="I48" i="16"/>
  <c r="H48" i="16"/>
  <c r="G48" i="16"/>
  <c r="F48" i="16"/>
  <c r="E48" i="16"/>
  <c r="D48" i="16"/>
  <c r="C48" i="16"/>
  <c r="N47" i="16"/>
  <c r="M47" i="16"/>
  <c r="L47" i="16"/>
  <c r="K47" i="16"/>
  <c r="J47" i="16"/>
  <c r="I47" i="16"/>
  <c r="H47" i="16"/>
  <c r="G47" i="16"/>
  <c r="F47" i="16"/>
  <c r="E47" i="16"/>
  <c r="D47" i="16"/>
  <c r="C47" i="16"/>
  <c r="N46" i="16"/>
  <c r="M46" i="16"/>
  <c r="L46" i="16"/>
  <c r="K46" i="16"/>
  <c r="J46" i="16"/>
  <c r="I46" i="16"/>
  <c r="H46" i="16"/>
  <c r="G46" i="16"/>
  <c r="F46" i="16"/>
  <c r="E46" i="16"/>
  <c r="D46" i="16"/>
  <c r="C46" i="16"/>
  <c r="N45" i="16"/>
  <c r="M45" i="16"/>
  <c r="L45" i="16"/>
  <c r="K45" i="16"/>
  <c r="J45" i="16"/>
  <c r="I45" i="16"/>
  <c r="H45" i="16"/>
  <c r="G45" i="16"/>
  <c r="F45" i="16"/>
  <c r="E45" i="16"/>
  <c r="D45" i="16"/>
  <c r="C45" i="16"/>
  <c r="N44" i="16"/>
  <c r="M44" i="16"/>
  <c r="L44" i="16"/>
  <c r="K44" i="16"/>
  <c r="J44" i="16"/>
  <c r="I44" i="16"/>
  <c r="H44" i="16"/>
  <c r="G44" i="16"/>
  <c r="F44" i="16"/>
  <c r="E44" i="16"/>
  <c r="D44" i="16"/>
  <c r="C44" i="16"/>
  <c r="N43" i="16"/>
  <c r="M43" i="16"/>
  <c r="L43" i="16"/>
  <c r="K43" i="16"/>
  <c r="J43" i="16"/>
  <c r="I43" i="16"/>
  <c r="H43" i="16"/>
  <c r="G43" i="16"/>
  <c r="F43" i="16"/>
  <c r="E43" i="16"/>
  <c r="D43" i="16"/>
  <c r="C43" i="16"/>
  <c r="N42" i="16"/>
  <c r="M42" i="16"/>
  <c r="L42" i="16"/>
  <c r="K42" i="16"/>
  <c r="J42" i="16"/>
  <c r="I42" i="16"/>
  <c r="H42" i="16"/>
  <c r="G42" i="16"/>
  <c r="F42" i="16"/>
  <c r="E42" i="16"/>
  <c r="D42" i="16"/>
  <c r="C42" i="16"/>
  <c r="N41" i="16"/>
  <c r="M41" i="16"/>
  <c r="L41" i="16"/>
  <c r="K41" i="16"/>
  <c r="J41" i="16"/>
  <c r="I41" i="16"/>
  <c r="H41" i="16"/>
  <c r="G41" i="16"/>
  <c r="F41" i="16"/>
  <c r="E41" i="16"/>
  <c r="D41" i="16"/>
  <c r="C41" i="16"/>
  <c r="N40" i="16"/>
  <c r="M40" i="16"/>
  <c r="L40" i="16"/>
  <c r="K40" i="16"/>
  <c r="J40" i="16"/>
  <c r="I40" i="16"/>
  <c r="H40" i="16"/>
  <c r="G40" i="16"/>
  <c r="F40" i="16"/>
  <c r="E40" i="16"/>
  <c r="D40" i="16"/>
  <c r="C40" i="16"/>
  <c r="N39" i="16"/>
  <c r="M39" i="16"/>
  <c r="L39" i="16"/>
  <c r="K39" i="16"/>
  <c r="J39" i="16"/>
  <c r="I39" i="16"/>
  <c r="H39" i="16"/>
  <c r="G39" i="16"/>
  <c r="F39" i="16"/>
  <c r="E39" i="16"/>
  <c r="D39" i="16"/>
  <c r="C39" i="16"/>
  <c r="N50" i="15"/>
  <c r="M50" i="15"/>
  <c r="L50" i="15"/>
  <c r="K50" i="15"/>
  <c r="J50" i="15"/>
  <c r="I50" i="15"/>
  <c r="H50" i="15"/>
  <c r="G50" i="15"/>
  <c r="F50" i="15"/>
  <c r="E50" i="15"/>
  <c r="D50" i="15"/>
  <c r="C50" i="15"/>
  <c r="N49" i="15"/>
  <c r="M49" i="15"/>
  <c r="L49" i="15"/>
  <c r="K49" i="15"/>
  <c r="J49" i="15"/>
  <c r="I49" i="15"/>
  <c r="H49" i="15"/>
  <c r="G49" i="15"/>
  <c r="F49" i="15"/>
  <c r="E49" i="15"/>
  <c r="D49" i="15"/>
  <c r="C49" i="15"/>
  <c r="N48" i="15"/>
  <c r="M48" i="15"/>
  <c r="L48" i="15"/>
  <c r="K48" i="15"/>
  <c r="J48" i="15"/>
  <c r="I48" i="15"/>
  <c r="H48" i="15"/>
  <c r="G48" i="15"/>
  <c r="F48" i="15"/>
  <c r="E48" i="15"/>
  <c r="D48" i="15"/>
  <c r="C48" i="15"/>
  <c r="N47" i="15"/>
  <c r="M47" i="15"/>
  <c r="L47" i="15"/>
  <c r="K47" i="15"/>
  <c r="J47" i="15"/>
  <c r="I47" i="15"/>
  <c r="H47" i="15"/>
  <c r="G47" i="15"/>
  <c r="F47" i="15"/>
  <c r="E47" i="15"/>
  <c r="D47" i="15"/>
  <c r="C47" i="15"/>
  <c r="N46" i="15"/>
  <c r="M46" i="15"/>
  <c r="L46" i="15"/>
  <c r="K46" i="15"/>
  <c r="J46" i="15"/>
  <c r="I46" i="15"/>
  <c r="H46" i="15"/>
  <c r="G46" i="15"/>
  <c r="F46" i="15"/>
  <c r="E46" i="15"/>
  <c r="D46" i="15"/>
  <c r="C46" i="15"/>
  <c r="N45" i="15"/>
  <c r="M45" i="15"/>
  <c r="L45" i="15"/>
  <c r="K45" i="15"/>
  <c r="J45" i="15"/>
  <c r="I45" i="15"/>
  <c r="H45" i="15"/>
  <c r="G45" i="15"/>
  <c r="F45" i="15"/>
  <c r="E45" i="15"/>
  <c r="D45" i="15"/>
  <c r="C45" i="15"/>
  <c r="N44" i="15"/>
  <c r="M44" i="15"/>
  <c r="L44" i="15"/>
  <c r="K44" i="15"/>
  <c r="J44" i="15"/>
  <c r="I44" i="15"/>
  <c r="H44" i="15"/>
  <c r="G44" i="15"/>
  <c r="F44" i="15"/>
  <c r="E44" i="15"/>
  <c r="D44" i="15"/>
  <c r="C44" i="15"/>
  <c r="N43" i="15"/>
  <c r="M43" i="15"/>
  <c r="L43" i="15"/>
  <c r="K43" i="15"/>
  <c r="J43" i="15"/>
  <c r="I43" i="15"/>
  <c r="H43" i="15"/>
  <c r="G43" i="15"/>
  <c r="F43" i="15"/>
  <c r="E43" i="15"/>
  <c r="D43" i="15"/>
  <c r="C43" i="15"/>
  <c r="N42" i="15"/>
  <c r="M42" i="15"/>
  <c r="L42" i="15"/>
  <c r="K42" i="15"/>
  <c r="J42" i="15"/>
  <c r="I42" i="15"/>
  <c r="H42" i="15"/>
  <c r="G42" i="15"/>
  <c r="F42" i="15"/>
  <c r="E42" i="15"/>
  <c r="D42" i="15"/>
  <c r="C42" i="15"/>
  <c r="N41" i="15"/>
  <c r="M41" i="15"/>
  <c r="L41" i="15"/>
  <c r="K41" i="15"/>
  <c r="J41" i="15"/>
  <c r="I41" i="15"/>
  <c r="H41" i="15"/>
  <c r="G41" i="15"/>
  <c r="F41" i="15"/>
  <c r="E41" i="15"/>
  <c r="D41" i="15"/>
  <c r="C41" i="15"/>
  <c r="N40" i="15"/>
  <c r="M40" i="15"/>
  <c r="L40" i="15"/>
  <c r="K40" i="15"/>
  <c r="J40" i="15"/>
  <c r="I40" i="15"/>
  <c r="H40" i="15"/>
  <c r="G40" i="15"/>
  <c r="F40" i="15"/>
  <c r="E40" i="15"/>
  <c r="D40" i="15"/>
  <c r="C40" i="15"/>
  <c r="N39" i="15"/>
  <c r="M39" i="15"/>
  <c r="L39" i="15"/>
  <c r="K39" i="15"/>
  <c r="J39" i="15"/>
  <c r="I39" i="15"/>
  <c r="H39" i="15"/>
  <c r="G39" i="15"/>
  <c r="F39" i="15"/>
  <c r="E39" i="15"/>
  <c r="D39" i="15"/>
  <c r="C39" i="15"/>
  <c r="N50" i="14"/>
  <c r="M50" i="14"/>
  <c r="L50" i="14"/>
  <c r="K50" i="14"/>
  <c r="J50" i="14"/>
  <c r="I50" i="14"/>
  <c r="H50" i="14"/>
  <c r="G50" i="14"/>
  <c r="F50" i="14"/>
  <c r="E50" i="14"/>
  <c r="D50" i="14"/>
  <c r="C50" i="14"/>
  <c r="N49" i="14"/>
  <c r="M49" i="14"/>
  <c r="L49" i="14"/>
  <c r="K49" i="14"/>
  <c r="J49" i="14"/>
  <c r="I49" i="14"/>
  <c r="H49" i="14"/>
  <c r="G49" i="14"/>
  <c r="F49" i="14"/>
  <c r="E49" i="14"/>
  <c r="D49" i="14"/>
  <c r="C49" i="14"/>
  <c r="N48" i="14"/>
  <c r="M48" i="14"/>
  <c r="L48" i="14"/>
  <c r="K48" i="14"/>
  <c r="J48" i="14"/>
  <c r="I48" i="14"/>
  <c r="H48" i="14"/>
  <c r="G48" i="14"/>
  <c r="F48" i="14"/>
  <c r="E48" i="14"/>
  <c r="D48" i="14"/>
  <c r="C48" i="14"/>
  <c r="N47" i="14"/>
  <c r="M47" i="14"/>
  <c r="L47" i="14"/>
  <c r="K47" i="14"/>
  <c r="J47" i="14"/>
  <c r="I47" i="14"/>
  <c r="H47" i="14"/>
  <c r="G47" i="14"/>
  <c r="F47" i="14"/>
  <c r="E47" i="14"/>
  <c r="D47" i="14"/>
  <c r="C47" i="14"/>
  <c r="N46" i="14"/>
  <c r="M46" i="14"/>
  <c r="L46" i="14"/>
  <c r="K46" i="14"/>
  <c r="J46" i="14"/>
  <c r="I46" i="14"/>
  <c r="H46" i="14"/>
  <c r="G46" i="14"/>
  <c r="F46" i="14"/>
  <c r="E46" i="14"/>
  <c r="D46" i="14"/>
  <c r="C46" i="14"/>
  <c r="N45" i="14"/>
  <c r="M45" i="14"/>
  <c r="L45" i="14"/>
  <c r="K45" i="14"/>
  <c r="J45" i="14"/>
  <c r="I45" i="14"/>
  <c r="H45" i="14"/>
  <c r="G45" i="14"/>
  <c r="F45" i="14"/>
  <c r="E45" i="14"/>
  <c r="D45" i="14"/>
  <c r="C45" i="14"/>
  <c r="N44" i="14"/>
  <c r="M44" i="14"/>
  <c r="L44" i="14"/>
  <c r="K44" i="14"/>
  <c r="J44" i="14"/>
  <c r="I44" i="14"/>
  <c r="H44" i="14"/>
  <c r="G44" i="14"/>
  <c r="F44" i="14"/>
  <c r="E44" i="14"/>
  <c r="D44" i="14"/>
  <c r="C44" i="14"/>
  <c r="N43" i="14"/>
  <c r="M43" i="14"/>
  <c r="L43" i="14"/>
  <c r="K43" i="14"/>
  <c r="J43" i="14"/>
  <c r="I43" i="14"/>
  <c r="H43" i="14"/>
  <c r="G43" i="14"/>
  <c r="F43" i="14"/>
  <c r="E43" i="14"/>
  <c r="D43" i="14"/>
  <c r="C43" i="14"/>
  <c r="N42" i="14"/>
  <c r="M42" i="14"/>
  <c r="L42" i="14"/>
  <c r="K42" i="14"/>
  <c r="J42" i="14"/>
  <c r="I42" i="14"/>
  <c r="H42" i="14"/>
  <c r="G42" i="14"/>
  <c r="F42" i="14"/>
  <c r="E42" i="14"/>
  <c r="D42" i="14"/>
  <c r="C42" i="14"/>
  <c r="N41" i="14"/>
  <c r="M41" i="14"/>
  <c r="L41" i="14"/>
  <c r="K41" i="14"/>
  <c r="J41" i="14"/>
  <c r="I41" i="14"/>
  <c r="H41" i="14"/>
  <c r="G41" i="14"/>
  <c r="F41" i="14"/>
  <c r="E41" i="14"/>
  <c r="D41" i="14"/>
  <c r="C41" i="14"/>
  <c r="N40" i="14"/>
  <c r="M40" i="14"/>
  <c r="L40" i="14"/>
  <c r="K40" i="14"/>
  <c r="J40" i="14"/>
  <c r="I40" i="14"/>
  <c r="H40" i="14"/>
  <c r="G40" i="14"/>
  <c r="F40" i="14"/>
  <c r="E40" i="14"/>
  <c r="D40" i="14"/>
  <c r="C40" i="14"/>
  <c r="N39" i="14"/>
  <c r="M39" i="14"/>
  <c r="L39" i="14"/>
  <c r="K39" i="14"/>
  <c r="J39" i="14"/>
  <c r="I39" i="14"/>
  <c r="H39" i="14"/>
  <c r="G39" i="14"/>
  <c r="F39" i="14"/>
  <c r="E39" i="14"/>
  <c r="D39" i="14"/>
  <c r="C39" i="14"/>
  <c r="N50" i="13"/>
  <c r="M50" i="13"/>
  <c r="L50" i="13"/>
  <c r="K50" i="13"/>
  <c r="J50" i="13"/>
  <c r="I50" i="13"/>
  <c r="H50" i="13"/>
  <c r="G50" i="13"/>
  <c r="F50" i="13"/>
  <c r="E50" i="13"/>
  <c r="D50" i="13"/>
  <c r="C50" i="13"/>
  <c r="N49" i="13"/>
  <c r="M49" i="13"/>
  <c r="L49" i="13"/>
  <c r="K49" i="13"/>
  <c r="J49" i="13"/>
  <c r="I49" i="13"/>
  <c r="H49" i="13"/>
  <c r="G49" i="13"/>
  <c r="F49" i="13"/>
  <c r="E49" i="13"/>
  <c r="D49" i="13"/>
  <c r="C49" i="13"/>
  <c r="N48" i="13"/>
  <c r="M48" i="13"/>
  <c r="L48" i="13"/>
  <c r="K48" i="13"/>
  <c r="J48" i="13"/>
  <c r="I48" i="13"/>
  <c r="H48" i="13"/>
  <c r="G48" i="13"/>
  <c r="F48" i="13"/>
  <c r="E48" i="13"/>
  <c r="D48" i="13"/>
  <c r="C48" i="13"/>
  <c r="N47" i="13"/>
  <c r="M47" i="13"/>
  <c r="L47" i="13"/>
  <c r="K47" i="13"/>
  <c r="J47" i="13"/>
  <c r="I47" i="13"/>
  <c r="H47" i="13"/>
  <c r="G47" i="13"/>
  <c r="F47" i="13"/>
  <c r="E47" i="13"/>
  <c r="D47" i="13"/>
  <c r="C47" i="13"/>
  <c r="N46" i="13"/>
  <c r="M46" i="13"/>
  <c r="L46" i="13"/>
  <c r="K46" i="13"/>
  <c r="J46" i="13"/>
  <c r="I46" i="13"/>
  <c r="H46" i="13"/>
  <c r="G46" i="13"/>
  <c r="F46" i="13"/>
  <c r="E46" i="13"/>
  <c r="D46" i="13"/>
  <c r="C46" i="13"/>
  <c r="N45" i="13"/>
  <c r="M45" i="13"/>
  <c r="L45" i="13"/>
  <c r="K45" i="13"/>
  <c r="J45" i="13"/>
  <c r="I45" i="13"/>
  <c r="H45" i="13"/>
  <c r="G45" i="13"/>
  <c r="F45" i="13"/>
  <c r="E45" i="13"/>
  <c r="D45" i="13"/>
  <c r="C45" i="13"/>
  <c r="N44" i="13"/>
  <c r="M44" i="13"/>
  <c r="L44" i="13"/>
  <c r="K44" i="13"/>
  <c r="J44" i="13"/>
  <c r="I44" i="13"/>
  <c r="H44" i="13"/>
  <c r="G44" i="13"/>
  <c r="F44" i="13"/>
  <c r="E44" i="13"/>
  <c r="D44" i="13"/>
  <c r="C44" i="13"/>
  <c r="N43" i="13"/>
  <c r="M43" i="13"/>
  <c r="L43" i="13"/>
  <c r="K43" i="13"/>
  <c r="J43" i="13"/>
  <c r="I43" i="13"/>
  <c r="H43" i="13"/>
  <c r="G43" i="13"/>
  <c r="F43" i="13"/>
  <c r="E43" i="13"/>
  <c r="D43" i="13"/>
  <c r="C43" i="13"/>
  <c r="N42" i="13"/>
  <c r="M42" i="13"/>
  <c r="L42" i="13"/>
  <c r="K42" i="13"/>
  <c r="J42" i="13"/>
  <c r="I42" i="13"/>
  <c r="H42" i="13"/>
  <c r="G42" i="13"/>
  <c r="F42" i="13"/>
  <c r="E42" i="13"/>
  <c r="D42" i="13"/>
  <c r="C42" i="13"/>
  <c r="N41" i="13"/>
  <c r="M41" i="13"/>
  <c r="L41" i="13"/>
  <c r="K41" i="13"/>
  <c r="J41" i="13"/>
  <c r="I41" i="13"/>
  <c r="H41" i="13"/>
  <c r="G41" i="13"/>
  <c r="F41" i="13"/>
  <c r="E41" i="13"/>
  <c r="D41" i="13"/>
  <c r="C41" i="13"/>
  <c r="N40" i="13"/>
  <c r="M40" i="13"/>
  <c r="L40" i="13"/>
  <c r="K40" i="13"/>
  <c r="J40" i="13"/>
  <c r="I40" i="13"/>
  <c r="H40" i="13"/>
  <c r="G40" i="13"/>
  <c r="F40" i="13"/>
  <c r="E40" i="13"/>
  <c r="D40" i="13"/>
  <c r="C40" i="13"/>
  <c r="N39" i="13"/>
  <c r="M39" i="13"/>
  <c r="L39" i="13"/>
  <c r="K39" i="13"/>
  <c r="J39" i="13"/>
  <c r="I39" i="13"/>
  <c r="H39" i="13"/>
  <c r="G39" i="13"/>
  <c r="F39" i="13"/>
  <c r="E39" i="13"/>
  <c r="D39" i="13"/>
  <c r="C39" i="13"/>
  <c r="N50" i="12"/>
  <c r="M50" i="12"/>
  <c r="L50" i="12"/>
  <c r="K50" i="12"/>
  <c r="J50" i="12"/>
  <c r="I50" i="12"/>
  <c r="H50" i="12"/>
  <c r="G50" i="12"/>
  <c r="F50" i="12"/>
  <c r="E50" i="12"/>
  <c r="D50" i="12"/>
  <c r="C50" i="12"/>
  <c r="N49" i="12"/>
  <c r="M49" i="12"/>
  <c r="L49" i="12"/>
  <c r="K49" i="12"/>
  <c r="J49" i="12"/>
  <c r="I49" i="12"/>
  <c r="H49" i="12"/>
  <c r="G49" i="12"/>
  <c r="F49" i="12"/>
  <c r="E49" i="12"/>
  <c r="D49" i="12"/>
  <c r="C49" i="12"/>
  <c r="N48" i="12"/>
  <c r="M48" i="12"/>
  <c r="L48" i="12"/>
  <c r="K48" i="12"/>
  <c r="J48" i="12"/>
  <c r="I48" i="12"/>
  <c r="H48" i="12"/>
  <c r="G48" i="12"/>
  <c r="F48" i="12"/>
  <c r="E48" i="12"/>
  <c r="D48" i="12"/>
  <c r="C48" i="12"/>
  <c r="N47" i="12"/>
  <c r="M47" i="12"/>
  <c r="L47" i="12"/>
  <c r="K47" i="12"/>
  <c r="J47" i="12"/>
  <c r="I47" i="12"/>
  <c r="H47" i="12"/>
  <c r="G47" i="12"/>
  <c r="F47" i="12"/>
  <c r="E47" i="12"/>
  <c r="D47" i="12"/>
  <c r="C47" i="12"/>
  <c r="N46" i="12"/>
  <c r="M46" i="12"/>
  <c r="L46" i="12"/>
  <c r="K46" i="12"/>
  <c r="J46" i="12"/>
  <c r="I46" i="12"/>
  <c r="H46" i="12"/>
  <c r="G46" i="12"/>
  <c r="F46" i="12"/>
  <c r="E46" i="12"/>
  <c r="D46" i="12"/>
  <c r="C46" i="12"/>
  <c r="N45" i="12"/>
  <c r="M45" i="12"/>
  <c r="L45" i="12"/>
  <c r="K45" i="12"/>
  <c r="J45" i="12"/>
  <c r="I45" i="12"/>
  <c r="H45" i="12"/>
  <c r="G45" i="12"/>
  <c r="F45" i="12"/>
  <c r="E45" i="12"/>
  <c r="D45" i="12"/>
  <c r="C45" i="12"/>
  <c r="N44" i="12"/>
  <c r="M44" i="12"/>
  <c r="L44" i="12"/>
  <c r="K44" i="12"/>
  <c r="J44" i="12"/>
  <c r="I44" i="12"/>
  <c r="H44" i="12"/>
  <c r="G44" i="12"/>
  <c r="F44" i="12"/>
  <c r="E44" i="12"/>
  <c r="D44" i="12"/>
  <c r="C44" i="12"/>
  <c r="N43" i="12"/>
  <c r="M43" i="12"/>
  <c r="L43" i="12"/>
  <c r="K43" i="12"/>
  <c r="J43" i="12"/>
  <c r="I43" i="12"/>
  <c r="H43" i="12"/>
  <c r="G43" i="12"/>
  <c r="F43" i="12"/>
  <c r="E43" i="12"/>
  <c r="D43" i="12"/>
  <c r="C43" i="12"/>
  <c r="N42" i="12"/>
  <c r="M42" i="12"/>
  <c r="L42" i="12"/>
  <c r="K42" i="12"/>
  <c r="J42" i="12"/>
  <c r="I42" i="12"/>
  <c r="H42" i="12"/>
  <c r="G42" i="12"/>
  <c r="F42" i="12"/>
  <c r="E42" i="12"/>
  <c r="D42" i="12"/>
  <c r="C42" i="12"/>
  <c r="N41" i="12"/>
  <c r="M41" i="12"/>
  <c r="L41" i="12"/>
  <c r="K41" i="12"/>
  <c r="J41" i="12"/>
  <c r="I41" i="12"/>
  <c r="H41" i="12"/>
  <c r="G41" i="12"/>
  <c r="F41" i="12"/>
  <c r="E41" i="12"/>
  <c r="D41" i="12"/>
  <c r="C41" i="12"/>
  <c r="N40" i="12"/>
  <c r="M40" i="12"/>
  <c r="L40" i="12"/>
  <c r="K40" i="12"/>
  <c r="J40" i="12"/>
  <c r="I40" i="12"/>
  <c r="H40" i="12"/>
  <c r="G40" i="12"/>
  <c r="F40" i="12"/>
  <c r="E40" i="12"/>
  <c r="D40" i="12"/>
  <c r="C40" i="12"/>
  <c r="N39" i="12"/>
  <c r="M39" i="12"/>
  <c r="L39" i="12"/>
  <c r="K39" i="12"/>
  <c r="J39" i="12"/>
  <c r="I39" i="12"/>
  <c r="H39" i="12"/>
  <c r="G39" i="12"/>
  <c r="F39" i="12"/>
  <c r="E39" i="12"/>
  <c r="D39" i="12"/>
  <c r="C39" i="12"/>
  <c r="N50" i="11"/>
  <c r="M50" i="11"/>
  <c r="L50" i="11"/>
  <c r="K50" i="11"/>
  <c r="J50" i="11"/>
  <c r="I50" i="11"/>
  <c r="H50" i="11"/>
  <c r="G50" i="11"/>
  <c r="F50" i="11"/>
  <c r="E50" i="11"/>
  <c r="D50" i="11"/>
  <c r="C50" i="11"/>
  <c r="N49" i="11"/>
  <c r="M49" i="11"/>
  <c r="L49" i="11"/>
  <c r="K49" i="11"/>
  <c r="J49" i="11"/>
  <c r="I49" i="11"/>
  <c r="H49" i="11"/>
  <c r="G49" i="11"/>
  <c r="F49" i="11"/>
  <c r="E49" i="11"/>
  <c r="D49" i="11"/>
  <c r="C49" i="11"/>
  <c r="N48" i="11"/>
  <c r="M48" i="11"/>
  <c r="L48" i="11"/>
  <c r="K48" i="11"/>
  <c r="J48" i="11"/>
  <c r="I48" i="11"/>
  <c r="H48" i="11"/>
  <c r="G48" i="11"/>
  <c r="F48" i="11"/>
  <c r="E48" i="11"/>
  <c r="D48" i="11"/>
  <c r="C48" i="11"/>
  <c r="N47" i="11"/>
  <c r="M47" i="11"/>
  <c r="L47" i="11"/>
  <c r="K47" i="11"/>
  <c r="J47" i="11"/>
  <c r="I47" i="11"/>
  <c r="H47" i="11"/>
  <c r="G47" i="11"/>
  <c r="F47" i="11"/>
  <c r="E47" i="11"/>
  <c r="D47" i="11"/>
  <c r="C47" i="11"/>
  <c r="N46" i="11"/>
  <c r="M46" i="11"/>
  <c r="L46" i="11"/>
  <c r="K46" i="11"/>
  <c r="J46" i="11"/>
  <c r="I46" i="11"/>
  <c r="H46" i="11"/>
  <c r="G46" i="11"/>
  <c r="F46" i="11"/>
  <c r="E46" i="11"/>
  <c r="D46" i="11"/>
  <c r="C46" i="11"/>
  <c r="N45" i="11"/>
  <c r="M45" i="11"/>
  <c r="L45" i="11"/>
  <c r="K45" i="11"/>
  <c r="J45" i="11"/>
  <c r="I45" i="11"/>
  <c r="H45" i="11"/>
  <c r="G45" i="11"/>
  <c r="F45" i="11"/>
  <c r="E45" i="11"/>
  <c r="D45" i="11"/>
  <c r="C45" i="11"/>
  <c r="N44" i="11"/>
  <c r="M44" i="11"/>
  <c r="L44" i="11"/>
  <c r="K44" i="11"/>
  <c r="J44" i="11"/>
  <c r="I44" i="11"/>
  <c r="H44" i="11"/>
  <c r="G44" i="11"/>
  <c r="F44" i="11"/>
  <c r="E44" i="11"/>
  <c r="D44" i="11"/>
  <c r="C44" i="11"/>
  <c r="N43" i="11"/>
  <c r="M43" i="11"/>
  <c r="L43" i="11"/>
  <c r="K43" i="11"/>
  <c r="J43" i="11"/>
  <c r="I43" i="11"/>
  <c r="H43" i="11"/>
  <c r="G43" i="11"/>
  <c r="F43" i="11"/>
  <c r="E43" i="11"/>
  <c r="D43" i="11"/>
  <c r="C43" i="11"/>
  <c r="N42" i="11"/>
  <c r="M42" i="11"/>
  <c r="L42" i="11"/>
  <c r="K42" i="11"/>
  <c r="J42" i="11"/>
  <c r="I42" i="11"/>
  <c r="H42" i="11"/>
  <c r="G42" i="11"/>
  <c r="F42" i="11"/>
  <c r="E42" i="11"/>
  <c r="D42" i="11"/>
  <c r="C42" i="11"/>
  <c r="N41" i="11"/>
  <c r="M41" i="11"/>
  <c r="L41" i="11"/>
  <c r="K41" i="11"/>
  <c r="J41" i="11"/>
  <c r="I41" i="11"/>
  <c r="H41" i="11"/>
  <c r="G41" i="11"/>
  <c r="F41" i="11"/>
  <c r="E41" i="11"/>
  <c r="D41" i="11"/>
  <c r="C41" i="11"/>
  <c r="N40" i="11"/>
  <c r="M40" i="11"/>
  <c r="L40" i="11"/>
  <c r="K40" i="11"/>
  <c r="J40" i="11"/>
  <c r="I40" i="11"/>
  <c r="H40" i="11"/>
  <c r="G40" i="11"/>
  <c r="F40" i="11"/>
  <c r="E40" i="11"/>
  <c r="D40" i="11"/>
  <c r="C40" i="11"/>
  <c r="N39" i="11"/>
  <c r="M39" i="11"/>
  <c r="L39" i="11"/>
  <c r="K39" i="11"/>
  <c r="J39" i="11"/>
  <c r="I39" i="11"/>
  <c r="H39" i="11"/>
  <c r="G39" i="11"/>
  <c r="F39" i="11"/>
  <c r="E39" i="11"/>
  <c r="D39" i="11"/>
  <c r="C39" i="11"/>
  <c r="N50" i="10"/>
  <c r="M50" i="10"/>
  <c r="L50" i="10"/>
  <c r="K50" i="10"/>
  <c r="J50" i="10"/>
  <c r="I50" i="10"/>
  <c r="H50" i="10"/>
  <c r="G50" i="10"/>
  <c r="F50" i="10"/>
  <c r="E50" i="10"/>
  <c r="D50" i="10"/>
  <c r="C50" i="10"/>
  <c r="N49" i="10"/>
  <c r="M49" i="10"/>
  <c r="L49" i="10"/>
  <c r="K49" i="10"/>
  <c r="J49" i="10"/>
  <c r="I49" i="10"/>
  <c r="H49" i="10"/>
  <c r="G49" i="10"/>
  <c r="F49" i="10"/>
  <c r="E49" i="10"/>
  <c r="D49" i="10"/>
  <c r="C49" i="10"/>
  <c r="N48" i="10"/>
  <c r="M48" i="10"/>
  <c r="L48" i="10"/>
  <c r="K48" i="10"/>
  <c r="J48" i="10"/>
  <c r="I48" i="10"/>
  <c r="H48" i="10"/>
  <c r="G48" i="10"/>
  <c r="F48" i="10"/>
  <c r="E48" i="10"/>
  <c r="D48" i="10"/>
  <c r="C48" i="10"/>
  <c r="N47" i="10"/>
  <c r="M47" i="10"/>
  <c r="L47" i="10"/>
  <c r="K47" i="10"/>
  <c r="J47" i="10"/>
  <c r="I47" i="10"/>
  <c r="H47" i="10"/>
  <c r="G47" i="10"/>
  <c r="F47" i="10"/>
  <c r="E47" i="10"/>
  <c r="D47" i="10"/>
  <c r="C47" i="10"/>
  <c r="N46" i="10"/>
  <c r="M46" i="10"/>
  <c r="L46" i="10"/>
  <c r="K46" i="10"/>
  <c r="J46" i="10"/>
  <c r="I46" i="10"/>
  <c r="H46" i="10"/>
  <c r="G46" i="10"/>
  <c r="F46" i="10"/>
  <c r="E46" i="10"/>
  <c r="D46" i="10"/>
  <c r="C46" i="10"/>
  <c r="N45" i="10"/>
  <c r="M45" i="10"/>
  <c r="L45" i="10"/>
  <c r="K45" i="10"/>
  <c r="J45" i="10"/>
  <c r="I45" i="10"/>
  <c r="H45" i="10"/>
  <c r="G45" i="10"/>
  <c r="F45" i="10"/>
  <c r="E45" i="10"/>
  <c r="D45" i="10"/>
  <c r="C45" i="10"/>
  <c r="N44" i="10"/>
  <c r="M44" i="10"/>
  <c r="L44" i="10"/>
  <c r="K44" i="10"/>
  <c r="J44" i="10"/>
  <c r="I44" i="10"/>
  <c r="H44" i="10"/>
  <c r="G44" i="10"/>
  <c r="F44" i="10"/>
  <c r="E44" i="10"/>
  <c r="D44" i="10"/>
  <c r="C44" i="10"/>
  <c r="N43" i="10"/>
  <c r="M43" i="10"/>
  <c r="L43" i="10"/>
  <c r="K43" i="10"/>
  <c r="J43" i="10"/>
  <c r="I43" i="10"/>
  <c r="H43" i="10"/>
  <c r="G43" i="10"/>
  <c r="F43" i="10"/>
  <c r="E43" i="10"/>
  <c r="D43" i="10"/>
  <c r="C43" i="10"/>
  <c r="N42" i="10"/>
  <c r="M42" i="10"/>
  <c r="L42" i="10"/>
  <c r="K42" i="10"/>
  <c r="J42" i="10"/>
  <c r="I42" i="10"/>
  <c r="H42" i="10"/>
  <c r="G42" i="10"/>
  <c r="F42" i="10"/>
  <c r="E42" i="10"/>
  <c r="D42" i="10"/>
  <c r="C42" i="10"/>
  <c r="N41" i="10"/>
  <c r="M41" i="10"/>
  <c r="L41" i="10"/>
  <c r="K41" i="10"/>
  <c r="J41" i="10"/>
  <c r="I41" i="10"/>
  <c r="H41" i="10"/>
  <c r="G41" i="10"/>
  <c r="F41" i="10"/>
  <c r="E41" i="10"/>
  <c r="D41" i="10"/>
  <c r="C41" i="10"/>
  <c r="N40" i="10"/>
  <c r="M40" i="10"/>
  <c r="L40" i="10"/>
  <c r="K40" i="10"/>
  <c r="J40" i="10"/>
  <c r="I40" i="10"/>
  <c r="H40" i="10"/>
  <c r="G40" i="10"/>
  <c r="F40" i="10"/>
  <c r="E40" i="10"/>
  <c r="D40" i="10"/>
  <c r="C40" i="10"/>
  <c r="N39" i="10"/>
  <c r="M39" i="10"/>
  <c r="L39" i="10"/>
  <c r="K39" i="10"/>
  <c r="J39" i="10"/>
  <c r="I39" i="10"/>
  <c r="H39" i="10"/>
  <c r="G39" i="10"/>
  <c r="F39" i="10"/>
  <c r="E39" i="10"/>
  <c r="D39" i="10"/>
  <c r="C39" i="10"/>
  <c r="N50" i="9"/>
  <c r="M50" i="9"/>
  <c r="L50" i="9"/>
  <c r="K50" i="9"/>
  <c r="J50" i="9"/>
  <c r="I50" i="9"/>
  <c r="H50" i="9"/>
  <c r="G50" i="9"/>
  <c r="F50" i="9"/>
  <c r="E50" i="9"/>
  <c r="D50" i="9"/>
  <c r="C50" i="9"/>
  <c r="N49" i="9"/>
  <c r="M49" i="9"/>
  <c r="L49" i="9"/>
  <c r="K49" i="9"/>
  <c r="J49" i="9"/>
  <c r="I49" i="9"/>
  <c r="H49" i="9"/>
  <c r="G49" i="9"/>
  <c r="F49" i="9"/>
  <c r="E49" i="9"/>
  <c r="D49" i="9"/>
  <c r="C49" i="9"/>
  <c r="N48" i="9"/>
  <c r="M48" i="9"/>
  <c r="L48" i="9"/>
  <c r="K48" i="9"/>
  <c r="J48" i="9"/>
  <c r="I48" i="9"/>
  <c r="H48" i="9"/>
  <c r="G48" i="9"/>
  <c r="F48" i="9"/>
  <c r="E48" i="9"/>
  <c r="D48" i="9"/>
  <c r="C48" i="9"/>
  <c r="N47" i="9"/>
  <c r="M47" i="9"/>
  <c r="L47" i="9"/>
  <c r="K47" i="9"/>
  <c r="J47" i="9"/>
  <c r="I47" i="9"/>
  <c r="H47" i="9"/>
  <c r="G47" i="9"/>
  <c r="F47" i="9"/>
  <c r="E47" i="9"/>
  <c r="D47" i="9"/>
  <c r="C47" i="9"/>
  <c r="N46" i="9"/>
  <c r="M46" i="9"/>
  <c r="L46" i="9"/>
  <c r="K46" i="9"/>
  <c r="J46" i="9"/>
  <c r="I46" i="9"/>
  <c r="H46" i="9"/>
  <c r="G46" i="9"/>
  <c r="F46" i="9"/>
  <c r="E46" i="9"/>
  <c r="D46" i="9"/>
  <c r="C46" i="9"/>
  <c r="N45" i="9"/>
  <c r="M45" i="9"/>
  <c r="L45" i="9"/>
  <c r="K45" i="9"/>
  <c r="J45" i="9"/>
  <c r="I45" i="9"/>
  <c r="H45" i="9"/>
  <c r="G45" i="9"/>
  <c r="F45" i="9"/>
  <c r="E45" i="9"/>
  <c r="D45" i="9"/>
  <c r="C45" i="9"/>
  <c r="N44" i="9"/>
  <c r="M44" i="9"/>
  <c r="L44" i="9"/>
  <c r="K44" i="9"/>
  <c r="J44" i="9"/>
  <c r="I44" i="9"/>
  <c r="H44" i="9"/>
  <c r="G44" i="9"/>
  <c r="F44" i="9"/>
  <c r="E44" i="9"/>
  <c r="D44" i="9"/>
  <c r="C44" i="9"/>
  <c r="N43" i="9"/>
  <c r="M43" i="9"/>
  <c r="L43" i="9"/>
  <c r="K43" i="9"/>
  <c r="J43" i="9"/>
  <c r="I43" i="9"/>
  <c r="H43" i="9"/>
  <c r="G43" i="9"/>
  <c r="F43" i="9"/>
  <c r="E43" i="9"/>
  <c r="D43" i="9"/>
  <c r="C43" i="9"/>
  <c r="N42" i="9"/>
  <c r="M42" i="9"/>
  <c r="L42" i="9"/>
  <c r="K42" i="9"/>
  <c r="J42" i="9"/>
  <c r="I42" i="9"/>
  <c r="H42" i="9"/>
  <c r="G42" i="9"/>
  <c r="F42" i="9"/>
  <c r="E42" i="9"/>
  <c r="D42" i="9"/>
  <c r="C42" i="9"/>
  <c r="N41" i="9"/>
  <c r="M41" i="9"/>
  <c r="L41" i="9"/>
  <c r="K41" i="9"/>
  <c r="J41" i="9"/>
  <c r="I41" i="9"/>
  <c r="H41" i="9"/>
  <c r="G41" i="9"/>
  <c r="F41" i="9"/>
  <c r="E41" i="9"/>
  <c r="D41" i="9"/>
  <c r="C41" i="9"/>
  <c r="N40" i="9"/>
  <c r="M40" i="9"/>
  <c r="L40" i="9"/>
  <c r="K40" i="9"/>
  <c r="J40" i="9"/>
  <c r="I40" i="9"/>
  <c r="H40" i="9"/>
  <c r="G40" i="9"/>
  <c r="F40" i="9"/>
  <c r="E40" i="9"/>
  <c r="D40" i="9"/>
  <c r="C40" i="9"/>
  <c r="N39" i="9"/>
  <c r="M39" i="9"/>
  <c r="L39" i="9"/>
  <c r="K39" i="9"/>
  <c r="J39" i="9"/>
  <c r="I39" i="9"/>
  <c r="H39" i="9"/>
  <c r="G39" i="9"/>
  <c r="F39" i="9"/>
  <c r="E39" i="9"/>
  <c r="D39" i="9"/>
  <c r="C39" i="9"/>
  <c r="N50" i="8"/>
  <c r="M50" i="8"/>
  <c r="L50" i="8"/>
  <c r="K50" i="8"/>
  <c r="J50" i="8"/>
  <c r="I50" i="8"/>
  <c r="H50" i="8"/>
  <c r="G50" i="8"/>
  <c r="F50" i="8"/>
  <c r="E50" i="8"/>
  <c r="D50" i="8"/>
  <c r="C50" i="8"/>
  <c r="N49" i="8"/>
  <c r="M49" i="8"/>
  <c r="L49" i="8"/>
  <c r="K49" i="8"/>
  <c r="J49" i="8"/>
  <c r="I49" i="8"/>
  <c r="H49" i="8"/>
  <c r="G49" i="8"/>
  <c r="F49" i="8"/>
  <c r="E49" i="8"/>
  <c r="D49" i="8"/>
  <c r="C49" i="8"/>
  <c r="N48" i="8"/>
  <c r="M48" i="8"/>
  <c r="L48" i="8"/>
  <c r="K48" i="8"/>
  <c r="J48" i="8"/>
  <c r="I48" i="8"/>
  <c r="H48" i="8"/>
  <c r="G48" i="8"/>
  <c r="F48" i="8"/>
  <c r="E48" i="8"/>
  <c r="D48" i="8"/>
  <c r="C48" i="8"/>
  <c r="N47" i="8"/>
  <c r="M47" i="8"/>
  <c r="L47" i="8"/>
  <c r="K47" i="8"/>
  <c r="J47" i="8"/>
  <c r="I47" i="8"/>
  <c r="H47" i="8"/>
  <c r="G47" i="8"/>
  <c r="F47" i="8"/>
  <c r="E47" i="8"/>
  <c r="D47" i="8"/>
  <c r="C47" i="8"/>
  <c r="N46" i="8"/>
  <c r="M46" i="8"/>
  <c r="L46" i="8"/>
  <c r="K46" i="8"/>
  <c r="J46" i="8"/>
  <c r="I46" i="8"/>
  <c r="H46" i="8"/>
  <c r="G46" i="8"/>
  <c r="F46" i="8"/>
  <c r="E46" i="8"/>
  <c r="D46" i="8"/>
  <c r="C46" i="8"/>
  <c r="N45" i="8"/>
  <c r="M45" i="8"/>
  <c r="L45" i="8"/>
  <c r="K45" i="8"/>
  <c r="J45" i="8"/>
  <c r="I45" i="8"/>
  <c r="H45" i="8"/>
  <c r="G45" i="8"/>
  <c r="F45" i="8"/>
  <c r="E45" i="8"/>
  <c r="D45" i="8"/>
  <c r="C45" i="8"/>
  <c r="N44" i="8"/>
  <c r="M44" i="8"/>
  <c r="L44" i="8"/>
  <c r="K44" i="8"/>
  <c r="J44" i="8"/>
  <c r="I44" i="8"/>
  <c r="H44" i="8"/>
  <c r="G44" i="8"/>
  <c r="F44" i="8"/>
  <c r="E44" i="8"/>
  <c r="D44" i="8"/>
  <c r="C44" i="8"/>
  <c r="N43" i="8"/>
  <c r="M43" i="8"/>
  <c r="L43" i="8"/>
  <c r="K43" i="8"/>
  <c r="J43" i="8"/>
  <c r="I43" i="8"/>
  <c r="H43" i="8"/>
  <c r="G43" i="8"/>
  <c r="F43" i="8"/>
  <c r="E43" i="8"/>
  <c r="D43" i="8"/>
  <c r="C43" i="8"/>
  <c r="N42" i="8"/>
  <c r="M42" i="8"/>
  <c r="L42" i="8"/>
  <c r="K42" i="8"/>
  <c r="J42" i="8"/>
  <c r="I42" i="8"/>
  <c r="H42" i="8"/>
  <c r="G42" i="8"/>
  <c r="F42" i="8"/>
  <c r="E42" i="8"/>
  <c r="D42" i="8"/>
  <c r="C42" i="8"/>
  <c r="N41" i="8"/>
  <c r="M41" i="8"/>
  <c r="L41" i="8"/>
  <c r="K41" i="8"/>
  <c r="J41" i="8"/>
  <c r="I41" i="8"/>
  <c r="H41" i="8"/>
  <c r="G41" i="8"/>
  <c r="F41" i="8"/>
  <c r="E41" i="8"/>
  <c r="D41" i="8"/>
  <c r="C41" i="8"/>
  <c r="N40" i="8"/>
  <c r="M40" i="8"/>
  <c r="L40" i="8"/>
  <c r="K40" i="8"/>
  <c r="J40" i="8"/>
  <c r="I40" i="8"/>
  <c r="H40" i="8"/>
  <c r="G40" i="8"/>
  <c r="F40" i="8"/>
  <c r="E40" i="8"/>
  <c r="D40" i="8"/>
  <c r="C40" i="8"/>
  <c r="N39" i="8"/>
  <c r="M39" i="8"/>
  <c r="L39" i="8"/>
  <c r="K39" i="8"/>
  <c r="J39" i="8"/>
  <c r="I39" i="8"/>
  <c r="H39" i="8"/>
  <c r="G39" i="8"/>
  <c r="F39" i="8"/>
  <c r="E39" i="8"/>
  <c r="D39" i="8"/>
  <c r="C39" i="8"/>
  <c r="N50" i="7"/>
  <c r="M50" i="7"/>
  <c r="L50" i="7"/>
  <c r="K50" i="7"/>
  <c r="J50" i="7"/>
  <c r="I50" i="7"/>
  <c r="H50" i="7"/>
  <c r="G50" i="7"/>
  <c r="F50" i="7"/>
  <c r="E50" i="7"/>
  <c r="D50" i="7"/>
  <c r="C50" i="7"/>
  <c r="N49" i="7"/>
  <c r="M49" i="7"/>
  <c r="L49" i="7"/>
  <c r="K49" i="7"/>
  <c r="J49" i="7"/>
  <c r="I49" i="7"/>
  <c r="H49" i="7"/>
  <c r="G49" i="7"/>
  <c r="F49" i="7"/>
  <c r="E49" i="7"/>
  <c r="D49" i="7"/>
  <c r="C49" i="7"/>
  <c r="N48" i="7"/>
  <c r="M48" i="7"/>
  <c r="L48" i="7"/>
  <c r="K48" i="7"/>
  <c r="J48" i="7"/>
  <c r="I48" i="7"/>
  <c r="H48" i="7"/>
  <c r="G48" i="7"/>
  <c r="F48" i="7"/>
  <c r="E48" i="7"/>
  <c r="D48" i="7"/>
  <c r="C48" i="7"/>
  <c r="N47" i="7"/>
  <c r="M47" i="7"/>
  <c r="L47" i="7"/>
  <c r="K47" i="7"/>
  <c r="J47" i="7"/>
  <c r="I47" i="7"/>
  <c r="H47" i="7"/>
  <c r="G47" i="7"/>
  <c r="F47" i="7"/>
  <c r="E47" i="7"/>
  <c r="D47" i="7"/>
  <c r="C47" i="7"/>
  <c r="N46" i="7"/>
  <c r="M46" i="7"/>
  <c r="L46" i="7"/>
  <c r="K46" i="7"/>
  <c r="J46" i="7"/>
  <c r="I46" i="7"/>
  <c r="H46" i="7"/>
  <c r="G46" i="7"/>
  <c r="F46" i="7"/>
  <c r="E46" i="7"/>
  <c r="D46" i="7"/>
  <c r="C46" i="7"/>
  <c r="N45" i="7"/>
  <c r="M45" i="7"/>
  <c r="L45" i="7"/>
  <c r="K45" i="7"/>
  <c r="J45" i="7"/>
  <c r="I45" i="7"/>
  <c r="H45" i="7"/>
  <c r="G45" i="7"/>
  <c r="F45" i="7"/>
  <c r="E45" i="7"/>
  <c r="D45" i="7"/>
  <c r="C45" i="7"/>
  <c r="N44" i="7"/>
  <c r="M44" i="7"/>
  <c r="L44" i="7"/>
  <c r="K44" i="7"/>
  <c r="J44" i="7"/>
  <c r="I44" i="7"/>
  <c r="H44" i="7"/>
  <c r="G44" i="7"/>
  <c r="F44" i="7"/>
  <c r="E44" i="7"/>
  <c r="D44" i="7"/>
  <c r="C44" i="7"/>
  <c r="N43" i="7"/>
  <c r="M43" i="7"/>
  <c r="L43" i="7"/>
  <c r="K43" i="7"/>
  <c r="J43" i="7"/>
  <c r="I43" i="7"/>
  <c r="H43" i="7"/>
  <c r="G43" i="7"/>
  <c r="F43" i="7"/>
  <c r="E43" i="7"/>
  <c r="D43" i="7"/>
  <c r="C43" i="7"/>
  <c r="N42" i="7"/>
  <c r="M42" i="7"/>
  <c r="L42" i="7"/>
  <c r="K42" i="7"/>
  <c r="J42" i="7"/>
  <c r="I42" i="7"/>
  <c r="H42" i="7"/>
  <c r="G42" i="7"/>
  <c r="F42" i="7"/>
  <c r="E42" i="7"/>
  <c r="D42" i="7"/>
  <c r="C42" i="7"/>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50" i="6"/>
  <c r="M50" i="6"/>
  <c r="L50" i="6"/>
  <c r="K50" i="6"/>
  <c r="J50" i="6"/>
  <c r="I50" i="6"/>
  <c r="H50" i="6"/>
  <c r="G50" i="6"/>
  <c r="F50" i="6"/>
  <c r="E50" i="6"/>
  <c r="D50" i="6"/>
  <c r="C50" i="6"/>
  <c r="N49" i="6"/>
  <c r="M49" i="6"/>
  <c r="L49" i="6"/>
  <c r="K49" i="6"/>
  <c r="J49" i="6"/>
  <c r="I49" i="6"/>
  <c r="H49" i="6"/>
  <c r="G49" i="6"/>
  <c r="F49" i="6"/>
  <c r="E49" i="6"/>
  <c r="D49" i="6"/>
  <c r="C49" i="6"/>
  <c r="N48" i="6"/>
  <c r="M48" i="6"/>
  <c r="L48" i="6"/>
  <c r="K48" i="6"/>
  <c r="J48" i="6"/>
  <c r="I48" i="6"/>
  <c r="H48" i="6"/>
  <c r="G48" i="6"/>
  <c r="F48" i="6"/>
  <c r="E48" i="6"/>
  <c r="D48" i="6"/>
  <c r="C48" i="6"/>
  <c r="N47" i="6"/>
  <c r="M47" i="6"/>
  <c r="L47" i="6"/>
  <c r="K47" i="6"/>
  <c r="J47" i="6"/>
  <c r="I47" i="6"/>
  <c r="H47" i="6"/>
  <c r="G47" i="6"/>
  <c r="F47" i="6"/>
  <c r="E47" i="6"/>
  <c r="D47" i="6"/>
  <c r="C47" i="6"/>
  <c r="N46" i="6"/>
  <c r="M46" i="6"/>
  <c r="L46" i="6"/>
  <c r="K46" i="6"/>
  <c r="J46" i="6"/>
  <c r="I46" i="6"/>
  <c r="H46" i="6"/>
  <c r="G46" i="6"/>
  <c r="F46" i="6"/>
  <c r="E46" i="6"/>
  <c r="D46" i="6"/>
  <c r="C46" i="6"/>
  <c r="N45" i="6"/>
  <c r="M45" i="6"/>
  <c r="L45" i="6"/>
  <c r="K45" i="6"/>
  <c r="J45" i="6"/>
  <c r="I45" i="6"/>
  <c r="H45" i="6"/>
  <c r="G45" i="6"/>
  <c r="F45" i="6"/>
  <c r="E45" i="6"/>
  <c r="D45" i="6"/>
  <c r="C45" i="6"/>
  <c r="N44" i="6"/>
  <c r="M44" i="6"/>
  <c r="L44" i="6"/>
  <c r="K44" i="6"/>
  <c r="J44" i="6"/>
  <c r="I44" i="6"/>
  <c r="H44" i="6"/>
  <c r="G44" i="6"/>
  <c r="F44" i="6"/>
  <c r="E44" i="6"/>
  <c r="D44" i="6"/>
  <c r="C44" i="6"/>
  <c r="N43" i="6"/>
  <c r="M43" i="6"/>
  <c r="L43" i="6"/>
  <c r="K43" i="6"/>
  <c r="J43" i="6"/>
  <c r="I43" i="6"/>
  <c r="H43" i="6"/>
  <c r="G43" i="6"/>
  <c r="F43" i="6"/>
  <c r="E43" i="6"/>
  <c r="D43" i="6"/>
  <c r="C43" i="6"/>
  <c r="N42" i="6"/>
  <c r="M42" i="6"/>
  <c r="L42" i="6"/>
  <c r="K42" i="6"/>
  <c r="J42" i="6"/>
  <c r="I42" i="6"/>
  <c r="H42" i="6"/>
  <c r="G42" i="6"/>
  <c r="F42" i="6"/>
  <c r="E42" i="6"/>
  <c r="D42" i="6"/>
  <c r="C42" i="6"/>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50" i="5"/>
  <c r="M50" i="5"/>
  <c r="L50" i="5"/>
  <c r="K50" i="5"/>
  <c r="J50" i="5"/>
  <c r="I50" i="5"/>
  <c r="H50" i="5"/>
  <c r="G50" i="5"/>
  <c r="F50" i="5"/>
  <c r="E50" i="5"/>
  <c r="D50" i="5"/>
  <c r="C50" i="5"/>
  <c r="N49" i="5"/>
  <c r="M49" i="5"/>
  <c r="L49" i="5"/>
  <c r="K49" i="5"/>
  <c r="J49" i="5"/>
  <c r="I49" i="5"/>
  <c r="H49" i="5"/>
  <c r="G49" i="5"/>
  <c r="F49" i="5"/>
  <c r="E49" i="5"/>
  <c r="D49" i="5"/>
  <c r="C49" i="5"/>
  <c r="N48" i="5"/>
  <c r="M48" i="5"/>
  <c r="L48" i="5"/>
  <c r="K48" i="5"/>
  <c r="J48" i="5"/>
  <c r="I48" i="5"/>
  <c r="H48" i="5"/>
  <c r="G48" i="5"/>
  <c r="F48" i="5"/>
  <c r="E48" i="5"/>
  <c r="D48" i="5"/>
  <c r="C48" i="5"/>
  <c r="N47" i="5"/>
  <c r="M47" i="5"/>
  <c r="L47" i="5"/>
  <c r="K47" i="5"/>
  <c r="J47" i="5"/>
  <c r="I47" i="5"/>
  <c r="H47" i="5"/>
  <c r="G47" i="5"/>
  <c r="F47" i="5"/>
  <c r="E47" i="5"/>
  <c r="D47" i="5"/>
  <c r="C47" i="5"/>
  <c r="N46" i="5"/>
  <c r="M46" i="5"/>
  <c r="L46" i="5"/>
  <c r="K46" i="5"/>
  <c r="J46" i="5"/>
  <c r="I46" i="5"/>
  <c r="H46" i="5"/>
  <c r="G46" i="5"/>
  <c r="F46" i="5"/>
  <c r="E46" i="5"/>
  <c r="D46" i="5"/>
  <c r="C46" i="5"/>
  <c r="N45" i="5"/>
  <c r="M45" i="5"/>
  <c r="L45" i="5"/>
  <c r="K45" i="5"/>
  <c r="J45" i="5"/>
  <c r="I45" i="5"/>
  <c r="H45" i="5"/>
  <c r="G45" i="5"/>
  <c r="F45" i="5"/>
  <c r="E45" i="5"/>
  <c r="D45" i="5"/>
  <c r="C45" i="5"/>
  <c r="N44" i="5"/>
  <c r="M44" i="5"/>
  <c r="L44" i="5"/>
  <c r="K44" i="5"/>
  <c r="J44" i="5"/>
  <c r="I44" i="5"/>
  <c r="H44" i="5"/>
  <c r="G44" i="5"/>
  <c r="F44" i="5"/>
  <c r="E44" i="5"/>
  <c r="D44" i="5"/>
  <c r="C44" i="5"/>
  <c r="N43" i="5"/>
  <c r="M43" i="5"/>
  <c r="L43" i="5"/>
  <c r="K43" i="5"/>
  <c r="J43" i="5"/>
  <c r="I43" i="5"/>
  <c r="H43" i="5"/>
  <c r="G43" i="5"/>
  <c r="F43" i="5"/>
  <c r="E43" i="5"/>
  <c r="D43" i="5"/>
  <c r="C43" i="5"/>
  <c r="N42" i="5"/>
  <c r="M42" i="5"/>
  <c r="L42" i="5"/>
  <c r="K42" i="5"/>
  <c r="J42" i="5"/>
  <c r="I42" i="5"/>
  <c r="H42" i="5"/>
  <c r="G42" i="5"/>
  <c r="F42" i="5"/>
  <c r="E42" i="5"/>
  <c r="D42" i="5"/>
  <c r="C42" i="5"/>
  <c r="N41" i="5"/>
  <c r="M41" i="5"/>
  <c r="L41" i="5"/>
  <c r="K41" i="5"/>
  <c r="J41" i="5"/>
  <c r="I41" i="5"/>
  <c r="H41" i="5"/>
  <c r="G41" i="5"/>
  <c r="F41" i="5"/>
  <c r="E41" i="5"/>
  <c r="D41" i="5"/>
  <c r="C41" i="5"/>
  <c r="N40" i="5"/>
  <c r="M40" i="5"/>
  <c r="L40" i="5"/>
  <c r="K40" i="5"/>
  <c r="J40" i="5"/>
  <c r="I40" i="5"/>
  <c r="H40" i="5"/>
  <c r="G40" i="5"/>
  <c r="F40" i="5"/>
  <c r="E40" i="5"/>
  <c r="D40" i="5"/>
  <c r="C40" i="5"/>
  <c r="N39" i="5"/>
  <c r="M39" i="5"/>
  <c r="L39" i="5"/>
  <c r="K39" i="5"/>
  <c r="J39" i="5"/>
  <c r="I39" i="5"/>
  <c r="H39" i="5"/>
  <c r="G39" i="5"/>
  <c r="F39" i="5"/>
  <c r="E39" i="5"/>
  <c r="D39" i="5"/>
  <c r="C39" i="5"/>
  <c r="N50" i="4"/>
  <c r="M50" i="4"/>
  <c r="L50" i="4"/>
  <c r="K50" i="4"/>
  <c r="J50" i="4"/>
  <c r="I50" i="4"/>
  <c r="H50" i="4"/>
  <c r="G50" i="4"/>
  <c r="F50" i="4"/>
  <c r="E50" i="4"/>
  <c r="D50" i="4"/>
  <c r="C50" i="4"/>
  <c r="N49" i="4"/>
  <c r="M49" i="4"/>
  <c r="L49" i="4"/>
  <c r="K49" i="4"/>
  <c r="J49" i="4"/>
  <c r="I49" i="4"/>
  <c r="H49" i="4"/>
  <c r="G49" i="4"/>
  <c r="F49" i="4"/>
  <c r="E49" i="4"/>
  <c r="D49" i="4"/>
  <c r="C49" i="4"/>
  <c r="N48" i="4"/>
  <c r="M48" i="4"/>
  <c r="L48" i="4"/>
  <c r="K48" i="4"/>
  <c r="J48" i="4"/>
  <c r="I48" i="4"/>
  <c r="H48" i="4"/>
  <c r="G48" i="4"/>
  <c r="F48" i="4"/>
  <c r="E48" i="4"/>
  <c r="D48" i="4"/>
  <c r="C48" i="4"/>
  <c r="N47" i="4"/>
  <c r="M47" i="4"/>
  <c r="L47" i="4"/>
  <c r="K47" i="4"/>
  <c r="J47" i="4"/>
  <c r="I47" i="4"/>
  <c r="H47" i="4"/>
  <c r="G47" i="4"/>
  <c r="F47" i="4"/>
  <c r="E47" i="4"/>
  <c r="D47" i="4"/>
  <c r="C47" i="4"/>
  <c r="N46" i="4"/>
  <c r="M46" i="4"/>
  <c r="L46" i="4"/>
  <c r="K46" i="4"/>
  <c r="J46" i="4"/>
  <c r="I46" i="4"/>
  <c r="H46" i="4"/>
  <c r="G46" i="4"/>
  <c r="F46" i="4"/>
  <c r="E46" i="4"/>
  <c r="D46" i="4"/>
  <c r="C46" i="4"/>
  <c r="N45" i="4"/>
  <c r="M45" i="4"/>
  <c r="L45" i="4"/>
  <c r="K45" i="4"/>
  <c r="J45" i="4"/>
  <c r="I45" i="4"/>
  <c r="H45" i="4"/>
  <c r="G45" i="4"/>
  <c r="F45" i="4"/>
  <c r="E45" i="4"/>
  <c r="D45" i="4"/>
  <c r="C45" i="4"/>
  <c r="N44" i="4"/>
  <c r="M44" i="4"/>
  <c r="L44" i="4"/>
  <c r="K44" i="4"/>
  <c r="J44" i="4"/>
  <c r="I44" i="4"/>
  <c r="H44" i="4"/>
  <c r="G44" i="4"/>
  <c r="F44" i="4"/>
  <c r="E44" i="4"/>
  <c r="D44" i="4"/>
  <c r="C44" i="4"/>
  <c r="N43" i="4"/>
  <c r="M43" i="4"/>
  <c r="L43" i="4"/>
  <c r="K43" i="4"/>
  <c r="J43" i="4"/>
  <c r="I43" i="4"/>
  <c r="H43" i="4"/>
  <c r="G43" i="4"/>
  <c r="F43" i="4"/>
  <c r="E43" i="4"/>
  <c r="D43" i="4"/>
  <c r="C43" i="4"/>
  <c r="N42" i="4"/>
  <c r="M42" i="4"/>
  <c r="L42" i="4"/>
  <c r="K42" i="4"/>
  <c r="J42" i="4"/>
  <c r="I42" i="4"/>
  <c r="H42" i="4"/>
  <c r="G42" i="4"/>
  <c r="F42" i="4"/>
  <c r="E42" i="4"/>
  <c r="D42" i="4"/>
  <c r="C42" i="4"/>
  <c r="N41" i="4"/>
  <c r="M41" i="4"/>
  <c r="L41" i="4"/>
  <c r="K41" i="4"/>
  <c r="J41" i="4"/>
  <c r="I41" i="4"/>
  <c r="H41" i="4"/>
  <c r="G41" i="4"/>
  <c r="F41" i="4"/>
  <c r="E41" i="4"/>
  <c r="D41" i="4"/>
  <c r="C41" i="4"/>
  <c r="N40" i="4"/>
  <c r="M40" i="4"/>
  <c r="L40" i="4"/>
  <c r="K40" i="4"/>
  <c r="J40" i="4"/>
  <c r="I40" i="4"/>
  <c r="H40" i="4"/>
  <c r="G40" i="4"/>
  <c r="F40" i="4"/>
  <c r="E40" i="4"/>
  <c r="D40" i="4"/>
  <c r="C40" i="4"/>
  <c r="N39" i="4"/>
  <c r="M39" i="4"/>
  <c r="L39" i="4"/>
  <c r="K39" i="4"/>
  <c r="J39" i="4"/>
  <c r="I39" i="4"/>
  <c r="H39" i="4"/>
  <c r="G39" i="4"/>
  <c r="F39" i="4"/>
  <c r="E39" i="4"/>
  <c r="D39" i="4"/>
  <c r="C39" i="4"/>
  <c r="R37" i="1"/>
  <c r="Q37" i="1"/>
  <c r="P37" i="1"/>
  <c r="O37" i="1"/>
  <c r="N37" i="1"/>
  <c r="M37" i="1"/>
  <c r="L37" i="1"/>
  <c r="K37" i="1"/>
  <c r="J37" i="1"/>
  <c r="I37" i="1"/>
  <c r="H37" i="1"/>
  <c r="G37" i="1"/>
  <c r="R36" i="1"/>
  <c r="Q36" i="1"/>
  <c r="P36" i="1"/>
  <c r="O36" i="1"/>
  <c r="N36" i="1"/>
  <c r="M36" i="1"/>
  <c r="L36" i="1"/>
  <c r="K36" i="1"/>
  <c r="J36" i="1"/>
  <c r="I36" i="1"/>
  <c r="H36" i="1"/>
  <c r="G36" i="1"/>
  <c r="R35" i="1"/>
  <c r="Q35" i="1"/>
  <c r="P35" i="1"/>
  <c r="O35" i="1"/>
  <c r="N35" i="1"/>
  <c r="M35" i="1"/>
  <c r="L35" i="1"/>
  <c r="K35" i="1"/>
  <c r="J35" i="1"/>
  <c r="I35" i="1"/>
  <c r="H35" i="1"/>
  <c r="G35" i="1"/>
  <c r="R34" i="1"/>
  <c r="Q34" i="1"/>
  <c r="P34" i="1"/>
  <c r="O34" i="1"/>
  <c r="N34" i="1"/>
  <c r="M34" i="1"/>
  <c r="L34" i="1"/>
  <c r="K34" i="1"/>
  <c r="J34" i="1"/>
  <c r="I34" i="1"/>
  <c r="H34" i="1"/>
  <c r="G34" i="1"/>
  <c r="R33" i="1"/>
  <c r="Q33" i="1"/>
  <c r="P33" i="1"/>
  <c r="O33" i="1"/>
  <c r="N33" i="1"/>
  <c r="M33" i="1"/>
  <c r="L33" i="1"/>
  <c r="K33" i="1"/>
  <c r="J33" i="1"/>
  <c r="I33" i="1"/>
  <c r="H33" i="1"/>
  <c r="G33" i="1"/>
  <c r="R32" i="1"/>
  <c r="Q32" i="1"/>
  <c r="P32" i="1"/>
  <c r="O32" i="1"/>
  <c r="N32" i="1"/>
  <c r="M32" i="1"/>
  <c r="L32" i="1"/>
  <c r="K32" i="1"/>
  <c r="J32" i="1"/>
  <c r="I32" i="1"/>
  <c r="H32" i="1"/>
  <c r="G32" i="1"/>
  <c r="R31" i="1"/>
  <c r="Q31" i="1"/>
  <c r="P31" i="1"/>
  <c r="O31" i="1"/>
  <c r="N31" i="1"/>
  <c r="M31" i="1"/>
  <c r="L31" i="1"/>
  <c r="K31" i="1"/>
  <c r="J31" i="1"/>
  <c r="I31" i="1"/>
  <c r="H31" i="1"/>
  <c r="G31" i="1"/>
  <c r="R30" i="1"/>
  <c r="Q30" i="1"/>
  <c r="P30" i="1"/>
  <c r="O30" i="1"/>
  <c r="N30" i="1"/>
  <c r="M30" i="1"/>
  <c r="L30" i="1"/>
  <c r="K30" i="1"/>
  <c r="J30" i="1"/>
  <c r="I30" i="1"/>
  <c r="H30" i="1"/>
  <c r="G30" i="1"/>
  <c r="R29" i="1"/>
  <c r="Q29" i="1"/>
  <c r="P29" i="1"/>
  <c r="O29" i="1"/>
  <c r="N29" i="1"/>
  <c r="M29" i="1"/>
  <c r="L29" i="1"/>
  <c r="K29" i="1"/>
  <c r="J29" i="1"/>
  <c r="I29" i="1"/>
  <c r="H29" i="1"/>
  <c r="G29" i="1"/>
  <c r="R28" i="1"/>
  <c r="Q28" i="1"/>
  <c r="P28" i="1"/>
  <c r="O28" i="1"/>
  <c r="N28" i="1"/>
  <c r="M28" i="1"/>
  <c r="L28" i="1"/>
  <c r="K28" i="1"/>
  <c r="J28" i="1"/>
  <c r="I28" i="1"/>
  <c r="H28" i="1"/>
  <c r="G28" i="1"/>
  <c r="R27" i="1"/>
  <c r="Q27" i="1"/>
  <c r="P27" i="1"/>
  <c r="O27" i="1"/>
  <c r="N27" i="1"/>
  <c r="M27" i="1"/>
  <c r="L27" i="1"/>
  <c r="K27" i="1"/>
  <c r="J27" i="1"/>
  <c r="I27" i="1"/>
  <c r="H27" i="1"/>
  <c r="G27" i="1"/>
  <c r="R26" i="1"/>
  <c r="Q26" i="1"/>
  <c r="P26" i="1"/>
  <c r="O26" i="1"/>
  <c r="N26" i="1"/>
  <c r="M26" i="1"/>
  <c r="L26" i="1"/>
  <c r="K26" i="1"/>
  <c r="J26" i="1"/>
  <c r="I26" i="1"/>
  <c r="H26" i="1"/>
  <c r="G26" i="1"/>
  <c r="R21" i="1"/>
  <c r="Q21" i="1"/>
  <c r="P21" i="1"/>
  <c r="O21" i="1"/>
  <c r="N21" i="1"/>
  <c r="M21" i="1"/>
  <c r="L21" i="1"/>
  <c r="K21" i="1"/>
  <c r="J21" i="1"/>
  <c r="I21" i="1"/>
  <c r="H21" i="1"/>
  <c r="G21" i="1"/>
  <c r="F21" i="1"/>
  <c r="F37" i="1" s="1"/>
  <c r="R20" i="1"/>
  <c r="Q20" i="1"/>
  <c r="P20" i="1"/>
  <c r="O20" i="1"/>
  <c r="N20" i="1"/>
  <c r="M20" i="1"/>
  <c r="L20" i="1"/>
  <c r="K20" i="1"/>
  <c r="J20" i="1"/>
  <c r="I20" i="1"/>
  <c r="H20" i="1"/>
  <c r="G20" i="1"/>
  <c r="F20" i="1"/>
  <c r="F36" i="1" s="1"/>
  <c r="R19" i="1"/>
  <c r="Q19" i="1"/>
  <c r="P19" i="1"/>
  <c r="O19" i="1"/>
  <c r="N19" i="1"/>
  <c r="M19" i="1"/>
  <c r="L19" i="1"/>
  <c r="K19" i="1"/>
  <c r="J19" i="1"/>
  <c r="I19" i="1"/>
  <c r="H19" i="1"/>
  <c r="G19" i="1"/>
  <c r="F19" i="1"/>
  <c r="F35" i="1" s="1"/>
  <c r="R18" i="1"/>
  <c r="Q18" i="1"/>
  <c r="P18" i="1"/>
  <c r="O18" i="1"/>
  <c r="N18" i="1"/>
  <c r="M18" i="1"/>
  <c r="L18" i="1"/>
  <c r="K18" i="1"/>
  <c r="J18" i="1"/>
  <c r="I18" i="1"/>
  <c r="H18" i="1"/>
  <c r="G18" i="1"/>
  <c r="F18" i="1"/>
  <c r="F34" i="1" s="1"/>
  <c r="R17" i="1"/>
  <c r="Q17" i="1"/>
  <c r="P17" i="1"/>
  <c r="O17" i="1"/>
  <c r="N17" i="1"/>
  <c r="M17" i="1"/>
  <c r="L17" i="1"/>
  <c r="K17" i="1"/>
  <c r="J17" i="1"/>
  <c r="I17" i="1"/>
  <c r="H17" i="1"/>
  <c r="G17" i="1"/>
  <c r="F17" i="1"/>
  <c r="F33" i="1" s="1"/>
  <c r="R16" i="1"/>
  <c r="Q16" i="1"/>
  <c r="P16" i="1"/>
  <c r="O16" i="1"/>
  <c r="N16" i="1"/>
  <c r="M16" i="1"/>
  <c r="L16" i="1"/>
  <c r="K16" i="1"/>
  <c r="J16" i="1"/>
  <c r="I16" i="1"/>
  <c r="H16" i="1"/>
  <c r="G16" i="1"/>
  <c r="F16" i="1"/>
  <c r="F32" i="1" s="1"/>
  <c r="R15" i="1"/>
  <c r="Q15" i="1"/>
  <c r="P15" i="1"/>
  <c r="O15" i="1"/>
  <c r="N15" i="1"/>
  <c r="M15" i="1"/>
  <c r="L15" i="1"/>
  <c r="K15" i="1"/>
  <c r="J15" i="1"/>
  <c r="I15" i="1"/>
  <c r="H15" i="1"/>
  <c r="G15" i="1"/>
  <c r="F15" i="1"/>
  <c r="F31" i="1" s="1"/>
  <c r="R14" i="1"/>
  <c r="Q14" i="1"/>
  <c r="P14" i="1"/>
  <c r="O14" i="1"/>
  <c r="N14" i="1"/>
  <c r="M14" i="1"/>
  <c r="L14" i="1"/>
  <c r="K14" i="1"/>
  <c r="J14" i="1"/>
  <c r="I14" i="1"/>
  <c r="H14" i="1"/>
  <c r="G14" i="1"/>
  <c r="F14" i="1"/>
  <c r="F30" i="1" s="1"/>
  <c r="R13" i="1"/>
  <c r="Q13" i="1"/>
  <c r="P13" i="1"/>
  <c r="O13" i="1"/>
  <c r="N13" i="1"/>
  <c r="M13" i="1"/>
  <c r="L13" i="1"/>
  <c r="K13" i="1"/>
  <c r="J13" i="1"/>
  <c r="I13" i="1"/>
  <c r="H13" i="1"/>
  <c r="G13" i="1"/>
  <c r="F13" i="1"/>
  <c r="F29" i="1" s="1"/>
  <c r="R12" i="1"/>
  <c r="Q12" i="1"/>
  <c r="P12" i="1"/>
  <c r="O12" i="1"/>
  <c r="N12" i="1"/>
  <c r="M12" i="1"/>
  <c r="L12" i="1"/>
  <c r="K12" i="1"/>
  <c r="J12" i="1"/>
  <c r="I12" i="1"/>
  <c r="H12" i="1"/>
  <c r="G12" i="1"/>
  <c r="F12" i="1"/>
  <c r="F28" i="1" s="1"/>
  <c r="R11" i="1"/>
  <c r="Q11" i="1"/>
  <c r="P11" i="1"/>
  <c r="O11" i="1"/>
  <c r="N11" i="1"/>
  <c r="M11" i="1"/>
  <c r="L11" i="1"/>
  <c r="K11" i="1"/>
  <c r="J11" i="1"/>
  <c r="I11" i="1"/>
  <c r="H11" i="1"/>
  <c r="G11" i="1"/>
  <c r="F11" i="1"/>
  <c r="F27" i="1" s="1"/>
  <c r="R10" i="1"/>
  <c r="Q10" i="1"/>
  <c r="P10" i="1"/>
  <c r="O10" i="1"/>
  <c r="N10" i="1"/>
  <c r="M10" i="1"/>
  <c r="L10" i="1"/>
  <c r="K10" i="1"/>
  <c r="J10" i="1"/>
  <c r="I10" i="1"/>
  <c r="H10" i="1"/>
  <c r="G10" i="1"/>
  <c r="F10" i="1"/>
  <c r="F26" i="1" s="1"/>
</calcChain>
</file>

<file path=xl/sharedStrings.xml><?xml version="1.0" encoding="utf-8"?>
<sst xmlns="http://schemas.openxmlformats.org/spreadsheetml/2006/main" count="3103" uniqueCount="378">
  <si>
    <t>ISO37101 assessment</t>
  </si>
  <si>
    <t>If needed, see the "HowTo" tab for next actions</t>
  </si>
  <si>
    <t>Content</t>
  </si>
  <si>
    <t>Review of Aarhus Activities</t>
  </si>
  <si>
    <t xml:space="preserve">Summary table: </t>
  </si>
  <si>
    <t>The following table summarizes the finding of this assessment.</t>
  </si>
  <si>
    <t>WP</t>
  </si>
  <si>
    <t>Aarhus</t>
  </si>
  <si>
    <t>Average Score</t>
  </si>
  <si>
    <t>Attractiveness</t>
  </si>
  <si>
    <t>Environment</t>
  </si>
  <si>
    <t>Resilience</t>
  </si>
  <si>
    <t>Resources</t>
  </si>
  <si>
    <t>Cohesion</t>
  </si>
  <si>
    <t>Well Being</t>
  </si>
  <si>
    <t>Review</t>
  </si>
  <si>
    <t>LL</t>
  </si>
  <si>
    <t>Content from Activities elements.</t>
  </si>
  <si>
    <t>Bld.</t>
  </si>
  <si>
    <t>Neig.</t>
  </si>
  <si>
    <t>1ae03038ed69</t>
  </si>
  <si>
    <t>VisBlue flow batteries</t>
  </si>
  <si>
    <t>Date</t>
  </si>
  <si>
    <t>July 02, 2024 - 09:47PM</t>
  </si>
  <si>
    <t>1572eb063e5c</t>
  </si>
  <si>
    <t>COWI upcycling</t>
  </si>
  <si>
    <t>b6ea66d78823</t>
  </si>
  <si>
    <t>Geodesign workshop for AU Viborg.</t>
  </si>
  <si>
    <t>Author(s)</t>
  </si>
  <si>
    <t>Automated</t>
  </si>
  <si>
    <t>6d8dcb722ca4</t>
  </si>
  <si>
    <t>Automated DGNB assessment tool for architects.</t>
  </si>
  <si>
    <t>9306b30af184</t>
  </si>
  <si>
    <t>Check building design predictions in operation</t>
  </si>
  <si>
    <t>3b760aaeab13</t>
  </si>
  <si>
    <t>Instant LCA metrics feedback in early building design stage</t>
  </si>
  <si>
    <t>b2f4402deaee</t>
  </si>
  <si>
    <t>Get feedback on design impact.</t>
  </si>
  <si>
    <t>Checked</t>
  </si>
  <si>
    <t>1c4d314e87cd</t>
  </si>
  <si>
    <t>Automated analysis for "soft" human-centered criteria.</t>
  </si>
  <si>
    <t>acd4708edfe6</t>
  </si>
  <si>
    <t>AU/SystemX/ITAINNOVA Human-centred analysis</t>
  </si>
  <si>
    <t>9a32b1f50fb5</t>
  </si>
  <si>
    <t>Guidelines optimizing precast concrete buildings.</t>
  </si>
  <si>
    <t>2df562aa32e7</t>
  </si>
  <si>
    <t>Assessment of GBN risks.</t>
  </si>
  <si>
    <t>Validated</t>
  </si>
  <si>
    <t>3a5a3c04bd9d</t>
  </si>
  <si>
    <t>Climate change survey in Denmark.</t>
  </si>
  <si>
    <t>192241189337</t>
  </si>
  <si>
    <t>Reduce embodied energy in buildings.</t>
  </si>
  <si>
    <t>23a0423d7f40</t>
  </si>
  <si>
    <t>Flagship building exceeds NZEB performance.</t>
  </si>
  <si>
    <t>096252bb3796</t>
  </si>
  <si>
    <t>Version of tool</t>
  </si>
  <si>
    <t>(10/04/2024)</t>
  </si>
  <si>
    <t>Number of count</t>
  </si>
  <si>
    <t>a53d1c7f9645</t>
  </si>
  <si>
    <t>283d32631463</t>
  </si>
  <si>
    <t>1a542cfbf2c5</t>
  </si>
  <si>
    <t>Building energy demand and savings</t>
  </si>
  <si>
    <t>cf262786a0e1</t>
  </si>
  <si>
    <t>Reduce building energy, meet certifications.</t>
  </si>
  <si>
    <t>4b9efdeaeb40</t>
  </si>
  <si>
    <t>66fab14edc4c</t>
  </si>
  <si>
    <t>High energy performance standards achieved</t>
  </si>
  <si>
    <t>d9a84a7879b5</t>
  </si>
  <si>
    <t>Geodesign workshop for campus transformation.</t>
  </si>
  <si>
    <t>caf2b28627a3</t>
  </si>
  <si>
    <t>602e9d1875d1</t>
  </si>
  <si>
    <t>f168037f7f37</t>
  </si>
  <si>
    <t>Climate Change Awareness Assessment survey prep.</t>
  </si>
  <si>
    <t>eb071de1ab08</t>
  </si>
  <si>
    <t>Rapid LCA feedback for architects</t>
  </si>
  <si>
    <t>7b3bd85715a4</t>
  </si>
  <si>
    <t>Analysis of climate change implications.</t>
  </si>
  <si>
    <t>e2a9b537c609</t>
  </si>
  <si>
    <t>Demonstration sites surpass NZEB performance</t>
  </si>
  <si>
    <t>f97457958ce9</t>
  </si>
  <si>
    <t>High energy performance certification requirements</t>
  </si>
  <si>
    <t>281fcc7d7eae</t>
  </si>
  <si>
    <t>Aarhus University Campus development summary:
- Sustainable city integrated campus
- Living Lab for green neighborhood
- Probono supporting sustainability process
- Focus on building certification
- Energy park development</t>
  </si>
  <si>
    <t>01454b1cfeba</t>
  </si>
  <si>
    <t>Enhancing GBN sustainability and resilience.</t>
  </si>
  <si>
    <t>79287892b1d7</t>
  </si>
  <si>
    <t>Climate change survey for Aarhus University.</t>
  </si>
  <si>
    <t>1b3f96535b56</t>
  </si>
  <si>
    <t>Energy savings in flagship building.</t>
  </si>
  <si>
    <t>How to use</t>
  </si>
  <si>
    <t>Step</t>
  </si>
  <si>
    <t>Description</t>
  </si>
  <si>
    <t>Step 1</t>
  </si>
  <si>
    <t>Author/user sends their text for review (use cases, visions, ….)</t>
  </si>
  <si>
    <t>Step 2</t>
  </si>
  <si>
    <t>LJ processes the text and..</t>
  </si>
  <si>
    <t>Step3</t>
  </si>
  <si>
    <t>A draft assessment is created, in an excel format, and sent back o the author</t>
  </si>
  <si>
    <t>The authors checks green tabs, and can edit cells in yellow such as this cell. Other cells should not be edited.</t>
  </si>
  <si>
    <t>Step 4</t>
  </si>
  <si>
    <t>Author sends back edited excel.</t>
  </si>
  <si>
    <t>Step 5</t>
  </si>
  <si>
    <t>LJ updates the data and generates the assessment report.</t>
  </si>
  <si>
    <t>Step 6</t>
  </si>
  <si>
    <t>Author receives an updated assessment</t>
  </si>
  <si>
    <t>Tabs</t>
  </si>
  <si>
    <t>Green tabs</t>
  </si>
  <si>
    <t>Contains assessments</t>
  </si>
  <si>
    <t>Blue tab</t>
  </si>
  <si>
    <t>Contains definition</t>
  </si>
  <si>
    <t>Black tab</t>
  </si>
  <si>
    <t>Cover hsset</t>
  </si>
  <si>
    <t>Orange tab</t>
  </si>
  <si>
    <t>How to and explanations</t>
  </si>
  <si>
    <t>Definitions</t>
  </si>
  <si>
    <t>As per https://www.iso.org/obp/ui/en/#iso:std:iso:37104:ed-1:v1:en</t>
  </si>
  <si>
    <t>Purpose of sustainability</t>
  </si>
  <si>
    <t>Including: potential for economic development; general appeal to citizens and investors; richness of culture, encouragement of creativity and innovation; established connectivity and the continual development of alternative forms of mobility (such as quality of sustainable public transport infrastructures).</t>
  </si>
  <si>
    <t>Preservation and improvement of environment</t>
  </si>
  <si>
    <t>Including: climate change mitigation (such as by reducing greenhouse gas emissions; preservation, restoration and enhancement of biological diversity and ecosystem services); protection of ecosystems, (including plant and animal diversity and migration as well as genetic diversity); reducing pollution (including improving air quality and reducing health hazard).</t>
  </si>
  <si>
    <t>Including: preparation for climate change adaptation; climate risk reduction actions and crisis management plans, vulnerability assessment, development of social capital and capability, demographic evolution; financial and economic shocks and stresses testing and organisational preparedness.</t>
  </si>
  <si>
    <t>Responsible resource use</t>
  </si>
  <si>
    <t>Including: improved land use management; reducing, reusing and recycling of materials; respect for scarcity of all types of resources (notably water and energy). Promoting the environmentally safe reuse and recycling/treatment of e-waste and batteries. Encouraging preparation for reuse of products, and imposing conditions for the safe recycling, recovery and disposal of waste materials.</t>
  </si>
  <si>
    <t>Social cohesion</t>
  </si>
  <si>
    <t>Including: Equitable accessibility to services; dialogue with external parties not limited by city boundaries, enhancing and celebrating diversity; heritage and building a sense of identity; inclusiveness; mutuality, and shared experiences; rootedness; sense of belonging and increasing opportunities for social mobility, cohesion and the reduction of inequalities. Social cohesion is a relevant element of Agenda 2030 which focuses on reaching the SDGs. It is summed up by the phrase "Leave no one behind"a.</t>
  </si>
  <si>
    <t>Well-being</t>
  </si>
  <si>
    <t>Including: access to quality-of-life opportunities; all-life education and job-related training, human capital improvement; healthy environment and liveable city; security; building self-confidence and collective maturity.</t>
  </si>
  <si>
    <t>Sustainability issue</t>
  </si>
  <si>
    <t>Governance, empowerment and engagement</t>
  </si>
  <si>
    <t>Including: actions aimed at involving the different local actors and encouraging them to work together on collaborative projects. Such actors might include public actors, private actors, universities and research, associations, charities and citizens.</t>
  </si>
  <si>
    <t>Education and capacity building</t>
  </si>
  <si>
    <t>Including: actions aimed at raising awareness, providing information, communication, education and training for different audiences and levels.</t>
  </si>
  <si>
    <t>Innovation, creativity and research</t>
  </si>
  <si>
    <t>Including: actions involving innovation, creativity and research. For example, the establishment of innovation clusters, places of physical and virtual exchanges, the definition of public policies to support the realization of innovative demonstrators in the territory. NOTE   Innovation can take many forms, including social, technological, organizational, economic and financial innovations.</t>
  </si>
  <si>
    <t>Health and care in the community</t>
  </si>
  <si>
    <t>Including: actions aimed at improving health and care in the community, with a particular emphasis on projects targeting the most vulnerable and fragile sections of the population (e.g. children, the elderly, people with disabilities, and people who are insecure, mentally ill or distressed) and also projects targeting areas that lack access to care and health facilities.</t>
  </si>
  <si>
    <t>Culture and community identity</t>
  </si>
  <si>
    <t>Including: actions aimed at supporting and promoting culture in its diversity, notably minority and marginalised cultures. It also concerns actions aimed at fostering meeting opportunities and exchanges between different cultures both inside and outside the territory.</t>
  </si>
  <si>
    <t>Living together, interdependence and mutuality</t>
  </si>
  <si>
    <t>Including: actions and mechanisms aimed at promoting equal treatment of all citizens. It also concerns actions that encourage living together, constructive challenge and policies reducing inequality in all its forms.</t>
  </si>
  <si>
    <t>Economy and sustainable production and consumption</t>
  </si>
  <si>
    <t>Including: actions aimed at promoting and fostering the development of sustainable production and consumption, for example by establishing rules governing public procurement.</t>
  </si>
  <si>
    <t>Living and working environment</t>
  </si>
  <si>
    <t>Including: actions in the field of construction or renovation of buildings and public spaces. Actions aimed at encouraging good appropriation of buildings and public space by different users (e.g. adaptability, flexibility and innovation).</t>
  </si>
  <si>
    <t>Safety and security</t>
  </si>
  <si>
    <t>Including: actions aimed at preventing and managing all types of risks, actions aimed at reducing the causes of delinquency and crime; actions to ensure general safety and security.</t>
  </si>
  <si>
    <t>Biodiversity and ecosystem services</t>
  </si>
  <si>
    <t>Including: actions aimed at protecting, integrating and promoting natural environments in the city and its surroundings, for example green spaces, landscapes, wetlands and aquatic environments, ecological corridors, fauna and flora. Actions aimed at better understanding and using the positive impact of diverse ecosystems.</t>
  </si>
  <si>
    <t>Community smart infrastructures</t>
  </si>
  <si>
    <t>Including: actions aimed at ensuring high-quality utilities, for example urban water supply services and wastewater treatment; collection and treatment of waste; production, transmission and distribution of energy (e.g. electricity, heat, cold); integration of internet and other communication services.</t>
  </si>
  <si>
    <t>Mobility</t>
  </si>
  <si>
    <t>Including: actions aimed at promoting the development of public transport, and of active and alternative transportation modes (e.g. electric cars, carpools). It includes actions aimed at fostering the integration of information technology in the management of mobility, the regulation of goods and people transportation (e.g. reduction of speed) and parking policy.</t>
  </si>
  <si>
    <t>Self assessment sheet</t>
  </si>
  <si>
    <t>Activity</t>
  </si>
  <si>
    <t>Review of None</t>
  </si>
  <si>
    <t>Title</t>
  </si>
  <si>
    <t>ID:</t>
  </si>
  <si>
    <t>Deliverable</t>
  </si>
  <si>
    <t>LL:</t>
  </si>
  <si>
    <t>Reviewed by</t>
  </si>
  <si>
    <t>Date of review:</t>
  </si>
  <si>
    <t>VisBlue flow batteries:
Visblue will produce and install flow batteries at Campus Viborg, to store excess power generated from solar panels on site, and to draw and store energy from the grid when cost effective.
They are more economically and environmentally friendly compared with lithium batteries.
AU Campus Viborg was so convinced by the projected benefits (analysis provided by VisBlue) that they have decided to invest 2.5 times additional budget above what is covered by PROBONO in purchasing more batteries.</t>
  </si>
  <si>
    <t>ID</t>
  </si>
  <si>
    <t>Purp.</t>
  </si>
  <si>
    <t>Act.</t>
  </si>
  <si>
    <t>Justification</t>
  </si>
  <si>
    <t>A2</t>
  </si>
  <si>
    <t>B7</t>
  </si>
  <si>
    <t>A3</t>
  </si>
  <si>
    <t>A4</t>
  </si>
  <si>
    <t>A6</t>
  </si>
  <si>
    <t>A1</t>
  </si>
  <si>
    <t>B11</t>
  </si>
  <si>
    <t>A (Purposes)</t>
  </si>
  <si>
    <t>B (Actions)</t>
  </si>
  <si>
    <t>1.      Attractiveness</t>
  </si>
  <si>
    <t>1.      Governance, empowerment, and engagement</t>
  </si>
  <si>
    <t>2.      Preservation and improvement of the environment</t>
  </si>
  <si>
    <t>2.      Education and capacity building</t>
  </si>
  <si>
    <t>3.      Resilience</t>
  </si>
  <si>
    <t>3.      Innovation, creativity, and research</t>
  </si>
  <si>
    <t>4.      Responsible resource use</t>
  </si>
  <si>
    <t>4.      Health and care in the community</t>
  </si>
  <si>
    <t>5.      Social cohesion</t>
  </si>
  <si>
    <t>5.      Culture and community identity</t>
  </si>
  <si>
    <t>6.      Wellbeing</t>
  </si>
  <si>
    <t>6.      Living together, interdependence and mutuality</t>
  </si>
  <si>
    <t>7.      Economy and sustainable production and consumption</t>
  </si>
  <si>
    <t>8.      Living and working environment</t>
  </si>
  <si>
    <t>9.      Safety and security</t>
  </si>
  <si>
    <t>10.   Biodiversity and ecosystem services</t>
  </si>
  <si>
    <t>11.   Community smart infrastructures</t>
  </si>
  <si>
    <t>12.   Mobility</t>
  </si>
  <si>
    <t>A5</t>
  </si>
  <si>
    <t>B1</t>
  </si>
  <si>
    <t>B2</t>
  </si>
  <si>
    <t>B3</t>
  </si>
  <si>
    <t>B4</t>
  </si>
  <si>
    <t>B5</t>
  </si>
  <si>
    <t>B6</t>
  </si>
  <si>
    <t>B8</t>
  </si>
  <si>
    <t>B9</t>
  </si>
  <si>
    <t>B10</t>
  </si>
  <si>
    <t>B12</t>
  </si>
  <si>
    <t>* Scoring is done using Likert Scale</t>
  </si>
  <si>
    <t>COWI upcycling:
In Campus Viborg a number of empty buildings may be renovated for new use purposes. Currently, a former cattle stable K45 is under consideration for a new purpose of accomodations for 50 people allocated to tending to the farm animals in the new campus.
COWI is exploring the alternatives for renovating this building, applying expertise in LCA with the focus on gains from upcycling.
A further contextual development is that the Viborg Kommune (municipality) has a lot of strict regulations for accommodations, and therefore there is a tendency towards demolishing older buildings and replacing with brand new constructions rather than renovating them, as it is simply easier to ensure that all regulations are covered with a new construction. This comes at the added cost of demolition, new construction and the social value loss of the "history" of a building. COWI is attempting to make a clear LCA comparison between renovation (upcycling) versus demolition and new construction with specific design proposals.</t>
  </si>
  <si>
    <t>Review of D2.3</t>
  </si>
  <si>
    <t>D2.3</t>
  </si>
  <si>
    <t>After an evaluation of a set of challenges from Aarhus LL, a Geodesign Workshop was considered as a strategic approach for the needed transformations in the AU Viborg Campus from a research centre into a green campus that is attractive to students. Geodesign will bring together stakeholders into a negotiation process for contributions to be integrated into the plans for the new campus configuration. The planning for the workshop is in its early stages of preparation and incoming discussions will define the requirements such as categories of stakeholders to bring into discussion, forms of recruitment and resources for the Geodesign activities.</t>
  </si>
  <si>
    <t>The text emphasizes the need for stakeholder involvement and negotiation in the planning process, indicating a focus on empowering and engaging stakeholders in the transformation of the campus taking into account wellbeing of campus users.</t>
  </si>
  <si>
    <t>The text mentions the transformation of the campus into a green campus, indicating a focus on innovation and creativity in the development of environmentally friendly solutions.</t>
  </si>
  <si>
    <t>The preparation for the transformation of the campus into a green campus can be linked to the goal of sustainable production and consumption, although the text does not provide extensive details on this aspect.</t>
  </si>
  <si>
    <t>The text refers to the integration of contributions from stakeholders into the plans for the new campus configuration, suggesting a concern for responsible resource use in the development of the campus environment.</t>
  </si>
  <si>
    <t>The text emphasizes the importance of bringing stakeholders together into a negotiation process, which is essential for the attractiveness of the new green campus.</t>
  </si>
  <si>
    <t>The transformation of the AU Viborg Campus into a green campus requires innovative and creative approaches, such as Geodesign, to address environmental challenges.</t>
  </si>
  <si>
    <t>The Geodesign Workshop aims to bring together stakeholders into a negotiation process, empowering them to contribute to the plans for the new campus configuration.</t>
  </si>
  <si>
    <t>The transformation of the AU Viborg Campus into a green campus requires innovative and creative approaches to address environmental challenges and research-based solutions for sustainable development.</t>
  </si>
  <si>
    <t>Review of D5.1</t>
  </si>
  <si>
    <t>D5.1</t>
  </si>
  <si>
    <t>AAR-A-UC4: Provide automated DGNB-specific assessment during design space exploration
AAR-A-UC4: Provide automated DGNB-specific assessment during design space exploration
Use Case description
The architect is working on a design. They would now like to consider a range of alternative design options, which we refer to as the design space. They would like to assess each candidate design against the green certification system DGNB.
The design space grows rapidly, due to high combinatorial nature of independent design actions. The Probono decision support tool:
Enables architects to precisely specify their design space
Samples the design space in a systematic way (via coverage analysis)
Assesses each sampled candidate design according to an extract of DGNB criteria
Clusters the resulting sampled designs according to their similarity in terms of DGNB outcomes
Visualises these clusters, giving the architect new insight into the structure of their (vast) design space
Enables architects to sample the space under constraints, effectively enabling the architect to “zoom in” to a cluster to discover more designs (in their design space) that lie within their chosen cluster
In the context of Digital Twins, derives high-performing configurations for BMS/EMS systems to achieve the desired outcomes in terms of DGNB indicators (e.g. automated HVAC systems etc.)
These design space exploration tools are part of the Renovation Domain Model (NovaDM).
Initially, using AAR-A-UC2 and AAR-A-UC3 as a foundation, the DGNB indicators that will be targeted will be air quality (within health and well-being category).
They specify the different possible actions that can be applied to their design as a so-called action tree. In action trees, “+” nodes mean that every child must be included, and “-“ nodes mean that exactly one child must be included. For example, the following action tree defines six variations for a particular group of windows: either they have double or triple glazing (2 choices) and have an opening mechanism that is either fixed (can’t open), top-down, or sideways (3 choices).
Figure 36: Example of action tree for architectural element (window) design exploration [Schultz and Kamari 2021]
They can now get an automated assessment of how their design performs for the green certification system DGNB. The following figure illustrates the workflow:
Figure 37: The process of automated evaluation of design scenarios [Schultz and Kamari 2021]
User / Actor
Architects:
Domain / Scope: Building design
Benefit: Gets feedback on how their design is performing in terms of the DGNB system, particularly in the health and well-being category. Can include broad configuration options for BMS/EMS systems to ensure human-centred qualities are realized during operation, in the case of automated HVAC systems etc.  They benefit from automated design space exploration tools that help them to understand the structure of their design space with respect to DGNB criteria.
User Scenario
The architect is working on their current design in Revit
They export their BIM model as an IFC file
They import the IFC file into the Probono Design Space Explorer toolkit
They specify their action tree
They extend the action tree with alternative BMS/EMS configurations that are also to be explored
They click a button and the tool samples, assess, and clusters the design space
The architect sees the clusters as an interactive 2D/3D scatterplot
They click on a design in each cluster to view its DGNB score profile
They choose a cluster and re-sample within that cluster
They conduct sensitivity analysis to identify those actions that are rather similar, but result in designs with drastically different DGNB scores
They get an action profile of their preferred top 3 clusters (i.e., an action profile of a cluster is the set of design actions that tend to result in designs falling within the cluster)
They proceed with their design which now scores highly across DGNB indicators
AAR-B - High Level Need: Generating new knowledge for the design.</t>
  </si>
  <si>
    <t>The tool aims to assess designs against the green certification system DGNB, particularly focusing on the health and well-being category. This includes broad configuration options for BMS/EMS systems to ensure human-centered qualities are realized during operation, indicating a concern for the ecosystem services and biodiversity within the built environment.</t>
  </si>
  <si>
    <t>The tool is designed to provide automated assessment of design scenarios, which can lead to the generation of new knowledge for building design. This contributes to the development of smart infrastructures within the community by integrating innovative tools for sustainable building practices.</t>
  </si>
  <si>
    <t>The use of an automated design space exploration tool benefits architects by providing valuable insights into the structure of their design space, potentially fostering collaboration and mutuality in the building design community.</t>
  </si>
  <si>
    <t>The tool enables architects to assess the performance of their designs in terms of the DGNB system, particularly focusing on the health and well-being category. This supports the well-being of future occupants by emphasizing human-centered qualities in the design process.</t>
  </si>
  <si>
    <t>AAR-B-UC1: Check design-stage predictions when the building is in operation
AAR-B-UC1: Check design-stage predictions when the building is in operation
Use Case description
The designed building is now constructed and moves into the operational phase. A Digital Twin is used to check and assess LCA metrics, human-centred criteria, and DGNB indicator scores. The actual measurements are compared with what was predicted during the design stage.
Significant discrepancies between as-designed and actual assessments are bundled together to auto-generate "design knowledge item" delivered to key stakeholders (design team, occupants, building managers, facility managers).
This is Intended to trigger dialogue on how to reconfigure the building (e.g. BMS/EMS etc.) to flexibly and dynamically improve occupant experience; this aspect does not necessarily happen automatically, improvements can also be achieved by reconfiguring settings, changing functional zones in the building, etc.
User / Actor
Architects:
Domain / Scope: Building design
Benefit: New design knowledge, specifically on whether the human-centred principles that governed decision making during the design stage indeed play out as intended in reality. Input and insights in how the building can be configured during operation to achieve the intended human-centred criteria.
Facility managers /Building owners:
Domain / Scope: Operation phase
Benefit: Further input in how the BMS/EMS can be configured to support human-centred criteria.
User Scenario
The architect (at the end of the design stage) delivers a ProBIM model that explicitly includes how human-centred requirements are met, in a formal way
After the building is constructed, specific air quality sensors are installed to collect data that will be used by the digital twin to assess human-centred criteria and DGNB indicators
While the building is in operation, data is collected and fed to the digital twin
The results are continuously compared to the scores that were predicted at end of the design stage – significant discrepancies are recorded and compiled into reports intended for architects, the design team, and other stakeholders
To the extent that the building is equipped with configurable automated systems (BMS/EMS), the DT has a range of alternative settings that it can assess and deploy (with close coordination with facility managers), ensuring that the DT enables adaptability and flexibility of the actual building based on incoming data
Data - Inventory and requirements
The Kitchen 1.0 is currently in operation. Energy usage and other metrics are available to inform the simulations of expected occupant behaviour and other operational patterns for The Kitchen 2.0.
The Kitchen 2.0 and BSS are currently in the design (deep renovation) phase. BIM models of the current designs are now available for use by Probono.
Given the initial focus on indoor air quality and thermal comfort, we will need to collect real-time data and install (virtual and real) sensors that can measure airflow, temperature, CO2, and HVAC usage. Predictions made via the simulations will be checked against the actual sensor data readings once the buildings become operational. The remaining social indicators will be assessed in a static way based on a combination of the (digital) BIM model and facts gathered manually from the (physical) environment.
Table 32: Aarhus LL - Data inventory
Decision-making tools – Inventory and requirements
Table 33: Aarhus LL - Decision-making tool Inventory
Visualization tools – Inventory and requirements​
Table 34: Aarhus LL - Visualization tools inventory
DT &amp; external systems – Interoperability requirements
Table 35: Aarhus LL - Interoperability requirements
PRG - Prague Living Lab
Living Lab Context.</t>
  </si>
  <si>
    <t>The use of Digital Twin to check and assess LCA metrics, human-centred criteria, and DGNB indicator scores demonstrates innovation and creativity in building design and operation, aligning with the responsible resource use purpose.</t>
  </si>
  <si>
    <t>The focus on human-centered criteria and the intention to trigger dialogue on reconfiguring the building to improve occupant experience align with the promotion of culture and community identity within the building design domain.</t>
  </si>
  <si>
    <t>The collection of real-time data and installation of sensors to measure indoor air quality and thermal comfort directly contribute to improving health and care in the community within the building operational phase, supporting the well-being purpose.</t>
  </si>
  <si>
    <t>The intention to use data to inform simulations of expected occupant behavior and operational patterns, as well as the focus on indoor air quality and thermal comfort, align with responsible resource use and contribute to creating a sustainable and efficient living and working environment.</t>
  </si>
  <si>
    <t>The emphasis on reconfiguring the building to improve occupant experience and the involvement of stakeholders such as architects, building managers, and facility managers promotes living together, interdependence, and mutuality in the building operational phase, contributing to social cohesion.</t>
  </si>
  <si>
    <t>The use of Digital Twin and other external systems to assess and deploy alternative settings for the building's automated systems demonstrates the attractiveness of innovative smart infrastructures within the building design and operation.</t>
  </si>
  <si>
    <t>While the focus is primarily on indoor air quality and thermal comfort, the consideration of real-time data and sensors also indirectly contributes to assessing and possibly improving biodiversity and ecosystem services within the building operational phase, aligning with the well-being purpose.</t>
  </si>
  <si>
    <t>AAR-A-UC1: Provide rapid feedback on LCA metrics at an early design stage
AAR-A-UC1: Provide rapid feedback on LCA metrics at an early design stage
Use Case description
The design team (including architects) is in the early design stage of designing The Kitchen 2.0 and BSS buildings, and needs information on the estimated CO2 footprint, energy consumption, and other LCA metrics. Two problems are as follows:
The designs of the current Kitchen 2.0 and BSS buildings currently lack many specific details, such as the specific materials of various building components, their exact geometries, and so on.
There is a relatively high degree of uncertainty in how those missing details will be filled in as the design continues to develop. For example, in the current design a slab is assigned a particular geometry and volume, but the designer knows that this shape will certainly be “tweaked” and changed later, but it’s difficult to say concretely. This makes it difficult to estimate the final LCA score of the current design.
The following figure is an example of the level of design that The Kitchen 2.0 is in:
Figure 32: Aarhus LL - Example of the level of design that The Kitchen 2.0
The design team needs information on:
design sensitivity: which (small) changes have a disproportionately large impact on LCA metrics
what kinds of changes to particular building components are (1) feasible, sensible, plausible and (2) likely.
The Probono decision support tool includes Consequential LCA calculations (how CO2, energy usage etc. change in response to possible decisions), adapted to make estimates on early- stage designs.
This includes a new “sustainability opportunity metric” for identifying “hot spots”, aspects in the design where changes are likely and can have a drastic impact on LCA metrics. LCA metrics should be calculated quickly (in the order of fractions of a second) so that the metric estimates are updated in real time as the design explores alternative design decisions.
This information should be presented visually, by colour coding building elements. Ideally this would be integrated directly into a BIM-based design tool such as Revit, although the main software module responsible for calculating the metrics is developed as an independent external software tool that can (in principle) be “plugged in” to other BIM design tools or used as a stand-alone command-line tool.
The following figures illustrate our current prototypes implemented in the BIM tool Revit.
Table 25: Aarhus LL - Threshold cut-off with four α values in sustainability opportunity mode
User / Actor
Architects:
Domain / Scope: Building Design
Benefit: Instant feedback on LCA impacts at a relatively early design stage.
User Scenario
The architect is working on their current design in Revit
They click a button “Activate: sustainability opportunity metric” (implemented as a custom plug-in)
The visualization of their 3D BIM appears in a colour coded form (as illustrated in above figures)
A floating panel contains options for selecting one from a set of sustainability opportunity metrics, and displaying a more detailed textual read-out of the analysis
The designer makes changes to their design in Revit, and the colours are updated automatically (within less than a second) in response to the design change
The architect untoggles the “Activate sustainability opportunity metric” button to return to the standard Revit visualisation.</t>
  </si>
  <si>
    <t>The use case aims to provide rapid feedback on LCA metrics at an early design stage, using innovative and creative approaches in the field of building design to enhance resilience through the integration of sustainability opportunity metrics and consequential LCA calculations.</t>
  </si>
  <si>
    <t>The development of a custom plug-in for BIM tools to provide rapid feedback on LCA impacts at an early design stage promotes responsible resource use by optimizing the use of building materials and energy, and contributes to the improvement of the living and working environment.</t>
  </si>
  <si>
    <t>The integration of sustainability opportunity metrics into BIM design tools, such as Revit, enhances the attractiveness of the community smart infrastructure by providing instant feedback on LCA metrics and promoting sustainable building practices.</t>
  </si>
  <si>
    <t>The integration of new sustainability opportunity metrics and rapid feedback on LCA impacts contributes to the resilience of the neighbourhood by fostering innovation, creativity, and research in sustainable building practices at a larger scale.</t>
  </si>
  <si>
    <t>The use case emphasizes the need for sustainable production and consumption by providing instant feedback on LCA impacts at an early design stage, promoting responsible resource use in building design.</t>
  </si>
  <si>
    <t>AAR-A-UC3: Provide feedback on human-centered criteria to engineer (e.g. HVAC, fire safety, statics specialist) when updating the design
AAR-A-UC3: Provide feedback on human-centered criteria to engineer (e.g. HVAC, fire safety, statics specialist) when updating the design
Use Case description
Normally the specialist would not be aware of how their changes to the building design directly impact human-centred aspects.
In this use case the specialist intends to make a change to the building, e.g. The Kitchen 2.0, by introducing a load-bearing pillar. The introduction of this building component changes the way the space is experienced (spaciousness, accessibility, etc.). Normally this change would go unaddressed, however now in the Probono decision support tool the specialist gets instant feedback on which experiences that were specifically design for are impacted.
User / Actor
Architects:
Domain / Scope: Building design
Benefit: Can preserve designed-for human-centred requirements in a BIM model. In conflicts arise later in the building development process, the architect is brought into a dialogue and exchange with engineers after the initial design phase is completed.
Engineers
Domain / Scope: Detailed design
Benefit: Gets verifying feedback on human-centred requirements.
User Scenario
The architect is working on their current design in Revit
They compute all spatial artefacts (as per AAR-A-UC2)
They select a subset of artefacts and mark them as “required”, with other reference details for traceability (e.g. architects name, etc.)
They export their ProBIM model into IFC format
The engineer imports the IFC design into Revit
The engineer activates the Probono human-centred analysis tool, and set the tool to “Compliance checking” mode; a floating window pops up for providing feedback to the engineer on human-centred aspects
They use their own specialized analysis tools to determine some changes to be made to their design
They start making changes to the design
When a design change impacts one of the spatial artefacts, an alert appears in the floating window; similarly the corresponding spatial artefact appears in the design in red
The engineer selects the spatial artefact to gather further information on the conflict, and seeks to consult the architect on solutions.</t>
  </si>
  <si>
    <t>The use case involves the integration of a human-centered analysis tool into the building design process, which contributes to responsible resource use by optimizing spatial artefacts and design changes, thereby improving the efficiency of community smart infrastructures.</t>
  </si>
  <si>
    <t>By providing feedback on human-centered criteria in the building design process, the use case contributes to social cohesion by promoting an inclusive and conducive living and working environment for all users and stakeholders.</t>
  </si>
  <si>
    <t>AAR-A-UC2: Provide feedback on human-centred "soft" criteria at early design stage
AAR-A-UC2: Provide feedback on human-centred "soft" criteria at early design stage
Use Case description
A key problem is that, currently, there is no automated analysis for judging "soft" human-centred criteria. When exploring the design space, the design team should get feedback on which human-centred criteria are (potentially) impacted based on certain design decisions.
Assessment should be visible, transparent and traceable so that the architect understands the underlying logic of the human-centred assessment, including source research literature. That is, the assessments made should always be evidence-based.
Similar to AAR-A-UC1, the design team accesses this information directly in their BIM design tool, although the main engine is an independent external tool. The following figure gives an example in the BIM tool ArchiCAD.
Figure 35: Aarhus LL - ArchiCAD tool with illustration of human centered criteria analysis.
The illustration emphasizes two layers of qualitative analysis:
the “lower level” qualitative experiences that are inferred directly from components and geometry of a building, e.g. “The room colour appearance is cool”, “The room has a lot of perimeter emphasis”, etc.
the “higher level” overall subjective impression that an occupant is predicted to experience (e.g. moderately pleasant, spacious, clear, public, …), inferred from the combination of inferred “lower level” experiences
Observe in the illustration that the user can “expand” each item in the lower level to reveal the underlying logic used to infer each qualitative experience, e.g. “The room has lots of perimeter emphasis” is inferred from “Ambient illumination is bright”, etc. What is missing from the illustration is yet a further level of “expansion” of the leaf nodes that refers to research and studies on which the definitions are based.
The above illustrated example employs a real set of studies from the lighting design community, namely Flynn and Cuttle. In a series of studies, Flynn (with various co-authors) determined the combination of “lower level” components that contribute to a set of “higher level” impressions presented in the following table (for example see: ):
Table 26: Examples of combinations of “lower level” components that contribute to a set of “higher level” impressions .
Cuttle specified ways of defining “lower level” qualitative experiences in a coarse way that suits the uncertainty at early design stages, for example:
Table 27: Example of defining qualitative experiences for Illuminance ratio .
Table 28: Example of defining qualitative experiences for Eye Illuminance .
Schultz et al.  aligned and formalized the systems of Flynn and Cuttle, and implemented prototype reasoning engines that applied this logic on BIM models.
The interpretations are brought into the BIM model in the form of new objects called “spatial artefacts”, i.e. regions of empty space that a semantically rich in terms of occupant experience. The following figure illustrates three building model extracts with spatial artefacts that capture human-centred information pertaining to visibility (and view out quality), and health and safety.
Table 29: Building model extracts with spatial artefacts that capture human-centered information about visibility, health and safety .
For Probono, this will focus on the area of air quality and thermal comfort. Predictions on air flow will be accomplished using ITA INNOVA CFD simulator and layered qualitative interpretations of the numerical air flow (simulated) data will be formalized based on psychology, ergonomics and architecture research analogous to the lighting design example above.
We refer to BIM models that are extended with spatial artefacts as ProBIM models.
User / Actor
Architect:
Domain / Scope: Building design
Benefit: Evidence-based feedback on human-centred aspects at a relatively early design stage.
User Scenario
The architect is working on their current design in Revit
They click a button “human-centred analysis” (implemented as a custom plug-in)
The reasoning engine computes new spatial artefacts pertaining to air quality
The spatial artefacts appear in the 3D BIM software as semi-transparent coloured spaces (resulting in a ProBIM model)
The architect clicks on one of these spaces and a floating window appears with the logic, as illustrated in the ArchiCAD figure above
Another floating panel provides the architect with options, e.g. which spatial artefacts to compute, show/hide, etc.</t>
  </si>
  <si>
    <t>The text emphasizes the development of an independent external tool for providing feedback on human-centered criteria at an early design stage. It highlights the importance of evidence-based assessments and refers to research literature as the basis for the human-centered analysis.</t>
  </si>
  <si>
    <t>The text describes the application of prototype reasoning engines that implement logic on BIM models to capture human-centered information. It also mentions the alignment and formalization of systems, indicating a focus on research and innovation at a broader scale.</t>
  </si>
  <si>
    <t>The text mentions the appearance of spatial artefacts in the 3D BIM software, creating ProBIM models for the architect. These spatial artefacts capture human-centered information about visibility, health, and safety, indicating a focus on improving the working environment and overall well-being of occupants.</t>
  </si>
  <si>
    <t>The text discusses the prediction of air flow and the formalization of layered qualitative interpretations based on psychology, ergonomics, and architecture research. This suggests an emphasis on enhancing the living and working environment at a broader scale.</t>
  </si>
  <si>
    <t>Social values in buildings broadly refer to desired occupant experiences, behaviours, and supporting occupants in undertaking their desired activities. Social values are a major pillar in the performance of a building, while also being conceptually under-developed in the shared representations of building designs (BIM models) and in certification standards and regulations.
AU are developing a new approach for making the intended social values explicit in BIM models, as designed-for by architects. This includes a systematic process from elicitation activities with architects, through to formalising and digitalising as-designed social values so that they are represented natively in BIM models (i.e. on the same ontological standing as regular building elements such as walls, doors, and so on).
SystemX are applying the Model Identity Card (MIC) technology to enable design terms to select the best set of simulation tools to use in order to assess a given social value, e.g. social values about air quality align well with air flow simulators, when used in a particular way.
 ITA INNOVA are developing a computational fluid dynamics air flow simulator that AU LL will use in The Kitchen 2.0 to make predictions about air quality social values, helping the design teams explore various design options.</t>
  </si>
  <si>
    <t>Review of DLV37</t>
  </si>
  <si>
    <t>DLV37</t>
  </si>
  <si>
    <t>## Alignemnt
A blueprint on how to optimize precast concrete buildings (see Annex A)
The blueprint is aimed at building designers focusing on levers directly influenceable by
these and conveying inspiration and aid to approaching the process of reducing
emissions from precast concrete construction in a building or a GBN.
2. A collection of short and “to-the-point” blueprints of potentials and attention points
for each of the initiatives in the guideline (See Annex B)
They can be used in extension of the guideline or used separately as a short guide to the
individual levers, conveying more detailed information on prerequisites and results.
3. Identification of optimization potentials of precast construction in the BSS building in
Aarhus LL
The potentials for reducing emissions from precast concrete constructions in the BSS building
has been identified and quantified. The building is so far in the process, that it is not expected
to be possible to implement any decisive changes. The BSS building has been used as a case in
the development of the guideline and the quantification of the potential for saving CO₂ will play
an important role in the following dialogue with the developer of Aarhus LL in terms of applying
and developing the guideline in relation to the part of Aarhus LL called Katrinebjerg, which is in
an earlier stage.</t>
  </si>
  <si>
    <t>The text presents a collection of short blueprints detailing potentials and attention points for initiatives in reducing emissions from precast concrete construction. This demonstrates a focus on innovation and research in finding ways to optimize precast construction for environmental preservation.</t>
  </si>
  <si>
    <t>The text provides information on how to optimize precast concrete buildings to reduce emissions, which is crucial for preserving and improving the environment. It offers guidance for building designers on influencing emissions reduction, conveying inspiration and assistance in the process.</t>
  </si>
  <si>
    <t>The text discusses the optimization of precast concrete buildings to reduce emissions, highlighting the importance of innovation and creativity in finding new solutions to improve environmental preservation in construction projects.</t>
  </si>
  <si>
    <t>The text highlights the identification of optimization potentials for precast construction in the BSS building, which contributes to creating a more attractive living and working environment. By focusing on reducing emissions, it aims to enhance the quality of the building and its surroundings.</t>
  </si>
  <si>
    <t>The text mentions the identification and quantification of optimization potentials for reducing emissions from precast concrete constructions, emphasizing the importance of responsible resource use and sustainable production practices in the context of a building project.</t>
  </si>
  <si>
    <t>Although the text does not directly address community smart infrastructures, the emphasis on optimizing precast construction for emission reduction indirectly contributes to creating smarter and more sustainable infrastructures. This can enhance the attractiveness of the city by promoting environmentally friendly practices.</t>
  </si>
  <si>
    <t>Review of DLV38B</t>
  </si>
  <si>
    <t>DLV38B</t>
  </si>
  <si>
    <t>## Alignment
Chapter 2 provides an assessment
of the primary risks faced by the
different LLs and proposes potential
KPIs to measure and track the
performance of GBNs in the context
of climate change. It also outlines
practical methodologies for data
collection and analysis that are
relevant to the identified KPIs. The
result provides a strategic roadmap
for developing and achieving
sustainable and resilient GBNs.
Chapter 3 explores the complexities
of construction and renovation
workflows, emphasizing economic,
chronological, and sustainability
considerations.
The adaptation to Aarhus LL will be
the focus for the following period
until final deliveray in M36, where it
will be included in the document
In Chapter 4, robotics are applied in
the form of drone/scan creation of
3D-models to establish an inventory
of construction materials in existing
buildings and calculate the
embedded GWP in these materials.
The replication of Robotic in Construction will be
ongoing onto final delivary in M36,
where it will be included.
(Notes: GBN stand for Green Buildings Neighbourhoods, GWP for Global Warming Potential)</t>
  </si>
  <si>
    <t>The text outlines practical methodologies for data collection and analysis relevant to potential KPIs for measuring and tracking the performance of GBNs in the context of climate change. This demonstrates a focus on innovation and research to enhance the resilience of the GBNs.</t>
  </si>
  <si>
    <t>The emphasis on sustainability considerations in construction and renovation workflows demonstrates a focus on responsible resource use and sustainable production and consumption at the neighbourhood scale.</t>
  </si>
  <si>
    <t>The use of robotics for creating 3D-models that establish an inventory of construction materials in existing buildings can contribute to responsible resource use and potentially impact the biodiversity and ecosystem services at the neighbourhood scale.</t>
  </si>
  <si>
    <t>The Climate Change Awareness Assessment survey will be prepared by Smart Innovation Norway colleagues over the course of summer 2023. It will be ready to be cascaded online with the help of Alchemer software in September 2023. In case of the Aarhus Living Lab, our target group is the students and staff of Aarhus University. We will appreciate the help of AU administration or the student council to reach as many respondents as possible. The survey will be translated to Danish to ensure the proper understanding of the questions by every participant.  The results from this assessment are expected to be processed by December 2023 and will be used to inform communication activities and behavioural change interventions.</t>
  </si>
  <si>
    <t>The survey targets students and staff of Aarhus University, aiming to foster a sense of community and mutual dependence within the university environment.</t>
  </si>
  <si>
    <t>The text highlights the preparation of a Climate Change Awareness Assessment survey, indicating a clear focus on raising awareness and capacity building in the community to address climate change challenges.</t>
  </si>
  <si>
    <t>The text emphasizes the preparation of a survey to assess Climate Change Awareness, indicating a focus on educating and raising awareness among the target group in Aarhus University.</t>
  </si>
  <si>
    <t>The survey aims to raise awareness about climate change, indicating a focus on environmental preservation. The use of Smart Innovation Norway colleagues suggests a focus on innovation and research in addressing climate change.</t>
  </si>
  <si>
    <t>The survey aims to raise awareness about climate change, which aligns with the goal of educating and building capacity in the community on environmental issues.</t>
  </si>
  <si>
    <t>The survey seeks the help of the AU administration or the student council to engage with the target group, emphasizing a collaborative approach to governance and community engagement for social cohesion.</t>
  </si>
  <si>
    <t>The survey aims to inform communication activities and behavioural change interventions, indicating a focus on innovative and research-driven approaches to building resilience in the local community.</t>
  </si>
  <si>
    <t>The survey intends to inform communication activities and behavioural change interventions related to climate change, which contributes to the well-being and health of the community.</t>
  </si>
  <si>
    <t>The text highlights the preparation of a Climate Change Awareness Assessment survey, indicating a focus on raising awareness and educating the target group about climate change.</t>
  </si>
  <si>
    <t>Review of D6.1</t>
  </si>
  <si>
    <t>D6.1</t>
  </si>
  <si>
    <t>I6. Reduction of the embodied energy in buildings: Achieve gold grade in the DGNB-DK certification system.. Achieve Class 2 in the Danish voluntary energy regulation. DGNB Gold corresponds to total performance index of 65% (aggregate across all major categories) and minimum 50% for each category.. FB23 Danish energy regulations corresponds to no more than 12 kg CO2/m2/yr build bigger than 1,000m2 from 2023.</t>
  </si>
  <si>
    <t>The text focuses on reducing the embodied energy in buildings, achieving high grades in certification systems, and meeting energy regulations, which align with the responsible resource use in the context of building environments.</t>
  </si>
  <si>
    <t>The text focuses on the reduction of embodied energy in buildings, which aligns with responsible resource use in the context of the building scale. It emphasizes the importance of achieving energy efficiency standards and reducing CO2 emissions.</t>
  </si>
  <si>
    <t>The text focuses on the reduction of embodied energy in buildings, which aligns with responsible resource use related to the living and working environment. Achieving gold grade in the DGNB-DK certification system and Class 2 in the Danish voluntary energy regulation demonstrates a commitment to responsible resource use.</t>
  </si>
  <si>
    <t>The reduction of embodied energy in buildings and achieving energy regulations contribute to a reduction in CO2 emissions, which is crucial for the preservation and improvement of the environment, particularly in the context of building environments.</t>
  </si>
  <si>
    <t>I3. Demonstration sites that go beyond NZEB performance: Flagship building specific heating and cooling demand: 0.7 kWh/m2/year. Savings flagship building: 0.5 GWh/year. GBN projection improvement to nZEB 40%</t>
  </si>
  <si>
    <t>The text emphasizes the innovative approach of achieving heating and cooling demand of 0.7 kWh/m2/year, which demonstrates responsible resource use and efficiency in building performance.</t>
  </si>
  <si>
    <t>The text emphasizes the development of demonstration sites that surpass NZEB performance, showcasing innovative approaches to heating and cooling demand, with specific energy savings and projections for improvement to nZEB by 40%. This demonstrates a clear focus on responsible resource use and the promotion of innovation and research in building-scale projects.</t>
  </si>
  <si>
    <t>The text focuses on achieving high energy efficiency in building performance, demonstrating innovation and creativity in pushing beyond NZEB standards.</t>
  </si>
  <si>
    <t>The focus on achieving flagship building specific heating and cooling demand and significant energy savings contributes to the attractiveness of the project in terms of economic sustainability and responsible resource use.</t>
  </si>
  <si>
    <t>The emphasis on achieving beyond NZEB performance aligns with the preservation and improvement of the environment by reducing energy consumption and promoting ecological sustainability in building operations.</t>
  </si>
  <si>
    <t>The text hints at the potential environmental impact and contribution to resilience by projecting a 40% improvement to nZEB standards.</t>
  </si>
  <si>
    <t>The mention of projected improvement to nZEB by 40% implies a level of resilience in terms of incorporating smart infrastructure strategies to adapt to changing environmental and energy efficiency requirements.</t>
  </si>
  <si>
    <t>AAR-A-UC4: Provide automated DGNB-specific assessment during design space exploration
AAR-A-UC4: Provide automated DGNB-specific assessment during design space exploration
Use Case description
The architect is working on a design. They would now like to consider a range of alternative design options, which we refer to as the design space. They would like to assess each candidate design against the green certification system DGNB.
The design space grows rapidly, due to high combinatorial nature of independent design actions. The Probono decision support tool:
Enables architects to precisely specify their design space
Samples the design space in a systematic way (via coverage analysis)
Assesses each sampled candidate design according to an extract of DGNB criteria
Clusters the resulting sampled designs according to their similarity in terms of DGNB outcomes
Visualises these clusters, giving the architect new insight into the structure of their (vast) design space
Enables architects to sample the space under constraints, effectively enabling the architect to “zoom in” to a cluster to discover more designs (in their design space) that lie within their chosen cluster
In the context of Digital Twins, derives high-performing configurations for BMS/EMS systems to achieve the desired outcomes in terms of DGNB indicators (e.g. automated HVAC systems etc.)
These design space exploration tools are part of the Renovation Domain Model (NovaDM).
Initially, using AAR-A-UC2 and AAR-A-UC3 as a foundation, the DGNB indicators that will be targeted will be air quality (within health and well-being category).
They specify the different possible actions that can be applied to their design as a so-called action tree. In action trees, “+” nodes mean that every child must be included, and “-“ nodes mean that exactly one child must be included. For example, the following action tree defines six variations for a particular group of windows: either they have double or triple glazing (2 choices) and have an opening mechanism that is either fixed (can’t open), top-down, or sideways (3 choices).
Figure 36: Example of action tree for architectural element (window) design exploration [Schultz and Kamari 2021]
They can now get an automated assessment of how their design performs for the green certification system DGNB. The following figure illustrates the workflow:
Figure 37: The process of automated evaluation of design scenarios [Schultz and Kamari 2021]
User / Actor
Architects:
Domain / Scope: Building design
Benefit: Gets feedback on how their design is performing in terms of the DGNB system, particularly in the health and well-being category. Can include broad configuration options for BMS/EMS systems to ensure human-centred qualities are realized during operation, in the case of automated HVAC systems etc.  They benefit from automated design space exploration tools that help them to understand the structure of their design space with respect to DGNB criteria.
User Scenario
The architect is working on their current design in Revit
They export their BIM model as an IFC file
They import the IFC file into the Probono Design Space Explorer toolkit
They specify their action tree
They extend the action tree with alternative BMS/EMS configurations that are also to be explored
They click a button and the tool samples, assess, and clusters the design space
The architect sees the clusters as an interactive 2D/3D scatterplot
They click on a design in each cluster to view its DGNB score profile
They choose a cluster and re-sample within that cluster
They conduct sensitivity analysis to identify those actions that are rather similar, but result in designs with drastically different DGNB scores
They get an action profile of their preferred top 3 clusters (i.e., an action profile of a cluster is the set of design actions that tend to result in designs falling within the cluster)
They proceed with their design which now scores highly across DGNB indicators
AAR-B - High Level Need: Generating new knowledge for the design</t>
  </si>
  <si>
    <t>The text describes the development of a Probono decision support tool that enables architects to assess design options against the green certification system DGNB, emphasizing the importance of innovation and creativity in the process of building design.</t>
  </si>
  <si>
    <t>The automated assessment of design performance in terms of the DGNB system, particularly in the health and well-being category, emphasizes the importance of well-being and care in the community within the scope of building design.</t>
  </si>
  <si>
    <t>The text highlights the focus on well-being, particularly in the health and care category, by targeting DGNB indicators related to air quality. The automated design space exploration tools aim to provide feedback on how designs perform in terms of the DGNB system, with a specific focus on human-centred qualities and health-related aspects.</t>
  </si>
  <si>
    <t>The development of automated assessment tools for design space exploration aligns with responsible resource use by promoting efficient and effective use of resources in building design through innovation and creativity.</t>
  </si>
  <si>
    <t>The development of automated design space exploration tools contributes to responsible resource use by enabling architects to explore alternative design options in a systematic way. This can lead to more sustainable production and consumption practices in the building design process.</t>
  </si>
  <si>
    <t>The emphasis on green certification system DGNB and the design space exploration tools contributes to the attractiveness of building design by promoting sustainable production and consumption in the economy.</t>
  </si>
  <si>
    <t>AAR-A-UC3: Provide feedback on human-centered criteria to engineer (e.g. HVAC, fire safety, statics specialist) when updating the design
AAR-A-UC3: Provide feedback on human-centered criteria to engineer (e.g. HVAC, fire safety, statics specialist) when updating the design
Use Case description
Normally the specialist would not be aware of how their changes to the building design directly impact human-centred aspects.
In this use case the specialist intends to make a change to the building, e.g. The Kitchen 2.0, by introducing a load-bearing pillar. The introduction of this building component changes the way the space is experienced (spaciousness, accessibility, etc.). Normally this change would go unaddressed, however now in the Probono decision support tool the specialist gets instant feedback on which experiences that were specifically design for are impacted.
User / Actor
Architects:
Domain / Scope: Building design
Benefit: Can preserve designed-for human-centred requirements in a BIM model. In conflicts arise later in the building development process, the architect is brought into a dialogue and exchange with engineers after the initial design phase is completed.
Engineers
Domain / Scope: Detailed design
Benefit: Gets verifying feedback on human-centred requirements.
User Scenario
The architect is working on their current design in Revit
They compute all spatial artefacts (as per AAR-A-UC2)
They select a subset of artefacts and mark them as “required”, with other reference details for traceability (e.g. architects name, etc.)
They export their ProBIM model into IFC format
The engineer imports the IFC design into Revit
The engineer activates the Probono human-centred analysis tool, and set the tool to “Compliance checking” mode; a floating window pops up for providing feedback to the engineer on human-centred aspects
They use their own specialized analysis tools to determine some changes to be made to their design
They start making changes to the design
When a design change impacts one of the spatial artefacts, an alert appears in the floating window; similarly the corresponding spatial artefact appears in the design in red
The engineer selects the spatial artefact to gather further information on the conflict, and seeks to consult the architect on solutions</t>
  </si>
  <si>
    <t>The text emphasizes the importance of well-being in the context of living and working environment.</t>
  </si>
  <si>
    <t>The text focuses on the responsible use of resources, particularly in the context of infrastructure and building design.</t>
  </si>
  <si>
    <t>The text describes the development of a tool that provides instant feedback on human-centered criteria in building design, allowing for the preservation of human-centered requirements in a BIM model. This innovative approach contributes to the well-being of individuals by ensuring that the impact of design changes on human experiences is taken into account.</t>
  </si>
  <si>
    <t>The implementation of the Probono human-centered analysis tool contributes to the attractiveness of the living and working environment at the neighborhood scale. By preserving human-centered design requirements, the tool enhances the quality and appeal of the built environment, creating a more attractive and liveable community for residents and workers.</t>
  </si>
  <si>
    <t>The use of the Probono human-centered analysis tool promotes responsible resource use by integrating human-centered aspects into the design process, leading to more efficient and sustainable building infrastructures. This aligns with the goal of creating smart and resource-efficient buildings that consider the well-being of the community and the environment.</t>
  </si>
  <si>
    <t>The tool supports social cohesion by addressing safety and security aspects in building design. By providing feedback on human-centered requirements, it helps create a safer and more secure built environment, fostering a sense of community and solidarity among building occupants.</t>
  </si>
  <si>
    <t>AAR-B-UC1: Check design-stage predictions when the building is in operation
AAR-B-UC1: Check design-stage predictions when the building is in operation
Use Case description
The designed building is now constructed and moves into the operational phase. A Digital Twin is used to check and assess LCA metrics, human-centred criteria, and DGNB indicator scores. The actual measurements are compared with what was predicted during the design stage.
Significant discrepancies between as-designed and actual assessments are bundled together to auto-generate "design knowledge item" delivered to key stakeholders (design team, occupants, building managers, facility managers).
This is Intended to trigger dialogue on how to reconfigure the building (e.g. BMS/EMS etc.) to flexibly and dynamically improve occupant experience; this aspect does not necessarily happen automatically, improvements can also be achieved by reconfiguring settings, changing functional zones in the building, etc.
User / Actor
Architects:
Domain / Scope: Building design
Benefit: New design knowledge, specifically on whether the human-centred principles that governed decision making during the design stage indeed play out as intended in reality. Input and insights in how the building can be configured during operation to achieve the intended human-centred criteria.
Facility managers /Building owners:
Domain / Scope: Operation phase
Benefit: Further input in how the BMS/EMS can be configured to support human-centred criteria.
User Scenario
The architect (at the end of the design stage) delivers a ProBIM model that explicitly includes how human-centred requirements are met, in a formal way
After the building is constructed, specific air quality sensors are installed to collect data that will be used by the digital twin to assess human-centred criteria and DGNB indicators
While the building is in operation, data is collected and fed to the digital twin
The results are continuously compared to the scores that were predicted at end of the design stage – significant discrepancies are recorded and compiled into reports intended for architects, the design team, and other stakeholders
To the extent that the building is equipped with configurable automated systems (BMS/EMS), the DT has a range of alternative settings that it can assess and deploy (with close coordination with facility managers), ensuring that the DT enables adaptability and flexibility of the actual building based on incoming data
Data - Inventory and requirements
The Kitchen 1.0 is currently in operation. Energy usage and other metrics are available to inform the simulations of expected occupant behaviour and other operational patterns for The Kitchen 2.0.
The Kitchen 2.0 and BSS are currently in the design (deep renovation) phase. BIM models of the current designs are now available for use by Probono.
Given the initial focus on indoor air quality and thermal comfort, we will need to collect real-time data and install (virtual and real) sensors that can measure airflow, temperature, CO2, and HVAC usage. Predictions made via the simulations will be checked against the actual sensor data readings once the buildings become operational. The remaining social indicators will be assessed in a static way based on a combination of the (digital) BIM model and facts gathered manually from the (physical) environment.
Table 32: Aarhus LL - Data inventory
Decision-making tools – Inventory and requirements
Table 33: Aarhus LL - Decision-making tool Inventory
Visualization tools – Inventory and requirements​
Table 34: Aarhus LL - Visualization tools inventory
DT &amp; external systems – Interoperability requirements
Table 35: Aarhus LL - Interoperability requirements
PRG - Prague Living Lab
Living Lab Context</t>
  </si>
  <si>
    <t>The focus on indoor air quality, thermal comfort, and human-centred criteria in the design and operational phase directly contributes to the health and well-being of the building occupants.</t>
  </si>
  <si>
    <t>The text emphasizes the importance of collecting real-time data and installing sensors to measure airflow, temperature, CO2, and HVAC usage, which directly contributes to the health and care in the community by ensuring a healthy indoor environment.</t>
  </si>
  <si>
    <t>The use of Digital Twin technology and predictive simulations for assessing building performance during operation demonstrates innovative and research-oriented approaches in building design and operation.</t>
  </si>
  <si>
    <t>The use of the Digital Twin technology and real-time data collection provides an educational opportunity for capacity building in understanding building performance and occupant well-being.</t>
  </si>
  <si>
    <t>The text focuses on the use of a Digital Twin to check and assess LCA metrics, human-centred criteria, and DGNB indicator scores, which indicates a strong emphasis on responsible resource use through innovation, creativity, and research.</t>
  </si>
  <si>
    <t>I1. Primary energy savings : Flagship Building energy demand: 1.2 GWh/year. Savings: 0.8 GWh/year. GBN projection: 3 GWh/year</t>
  </si>
  <si>
    <t>The innovative approach to energy savings and the projection for future energy demand highlight the attractiveness of the building in terms of sustainability and resource management.</t>
  </si>
  <si>
    <t>The text focuses on the responsible use of energy resources in a building context, highlighting the importance of energy savings and efficient energy management.</t>
  </si>
  <si>
    <t>The text focuses on primary energy savings in a flagship building, indicating a strong emphasis on responsible resource use at a building scale. The information provided suggests efforts to optimize energy consumption and reduce waste.</t>
  </si>
  <si>
    <t>The text highlights the significant energy savings in the flagship building, indicating responsible resource use and sustainable production and consumption.</t>
  </si>
  <si>
    <t>The focus on primary energy savings has implications for the broader ecosystem and biodiversity of the neighbourhood, as it contributes to reducing the overall environmental impact.</t>
  </si>
  <si>
    <t>The emphasis on sustainable energy management and production contributes to the social cohesion of the neighbourhood by promoting shared actions towards responsible resource use.</t>
  </si>
  <si>
    <t>The mention of GBN projection and energy savings indicates a broader impact on the neighborhood's resilience through the preservation of biodiversity and ecosystem services. This suggests a positive effect on the overall environment.</t>
  </si>
  <si>
    <t>The mention of the GBN projection indicates a focus on building community smart infrastructures for energy management and resilience.</t>
  </si>
  <si>
    <t>I6. Reduction of the embodied energy in buildings: Achieve gold grade in the DGNB-DK certification system.. Achieve Class 2 in the Danish voluntary energy regulation. DGNB Gold corresponds to total performance index of 65% (aggregate across all major categories) and minimum 50% for each category.. FB23 Danish energy regulations corresponds to no more than 12 kg CO2/m2/yr build bigger than 1,000m2 from 2023..</t>
  </si>
  <si>
    <t>The text focuses on the reduction of embodied energy in buildings, which aligns with the responsible resource use purpose. It addresses the impact on the built environment and the effort to achieve gold grade in the DGNB-DK certification system.</t>
  </si>
  <si>
    <t>The text emphasizes the achievement of Class 2 in the Danish voluntary energy regulation, which contributes to the resilience purpose by promoting sustainable production and consumption. It addresses the need to reduce CO2 emissions in building construction and aligns with economic and environmental resilience.</t>
  </si>
  <si>
    <t>After an evaluation of a set of challenges from Aarhus LL, a Geodesign Workshop was considered as a strategic approach for the needed transformations in the AU Viborg Campus from a research centre into a green campus that is attractive to students. Geodesign will bring together stakeholders into a negotiation process for contributions to be integrated into the plans for the new campus configuration. The planning for the workshop is in its early stages of preparation and incoming discussions will define the requirements such as categories of stakeholders to bring into discussion, forms of recruitment and resources for the Geodesign activities. .</t>
  </si>
  <si>
    <t>The text emphasizes the need for stakeholder involvement and negotiation in the planning process, indicating a focus on empowering and engaging stakeholders in the transformation of the campus.</t>
  </si>
  <si>
    <t>The text does not explicitly address issues related to health and care in the community, hence the low score for this aspect.</t>
  </si>
  <si>
    <t>I4. High energy performance: Achieve gold grade in the DGNB-DK certification system.. Achieve Class 2 in the Danish voluntary energy regulation. DGNB Gold corresponds to total performance index of 65% (aggregate across all major categories) and minimum 50% for each category.. FB23 Danish energy regulations corresponds to no more than 12 kg CO2/m2/yr build bigger than 1,000m2 from 2023.</t>
  </si>
  <si>
    <t>The text focuses on achieving high energy performance, which is directly related to responsible resource use by aiming to minimize energy consumption and environmental impact.</t>
  </si>
  <si>
    <t>The text emphasizes the achievement of high energy performance and adherence to Danish energy regulations, which aligns with the responsible resource use, focusing on energy efficiency and sustainable production.</t>
  </si>
  <si>
    <t>The text emphasizes the importance of achieving high-energy performance standards, demonstrating a commitment to responsible resource use in the built environment.</t>
  </si>
  <si>
    <t>The implementation of high energy performance standards contributes to the resilience of the building infrastructure, ensuring that it meets sustainable energy and environmental requirements for the future.</t>
  </si>
  <si>
    <t>The focus on achieving gold grade in the DGNB-DK certification system and Danish voluntary energy regulation indicates a commitment to environmental preservation and improvement, particularly in terms of reducing carbon emissions and energy consumption.</t>
  </si>
  <si>
    <t>After an evaluation of a set of challenges from Aarhus LL, a Geodesign Workshop was considered as a strategic approach for the needed transformations in the AU Viborg Campus from a research centre into a green campus that is attractive to students. Geodesign will bring together stakeholders into a negotiation process for contributions to be integrated into the plans for the new campus configuration. The planning for the workshop is in its early stages of preparation and incoming discussions will define the requirements such as categories of stakeholders to bring into discussion, forms of recruitment and resources for the Geodesign activities..</t>
  </si>
  <si>
    <t>The text emphasizes the importance of bringing together stakeholders into the negotiation process, indicating a focus on governance, empowerment, and engagement to make the campus more attractive to students.</t>
  </si>
  <si>
    <t>The mention of a Geodesign Workshop as a strategic approach for transformation implies a focus on innovation, creativity, and research to address the challenges facing the AU Viborg Campus.</t>
  </si>
  <si>
    <t>The development of ProBIM models and the focus on air quality, thermal comfort, and safety contribute significantly to the well-being of building occupants, with a strong emphasis on health and care in the community.</t>
  </si>
  <si>
    <t>The assessment aims to improve safety and security in building design by computing spatial artefacts pertaining to air quality, thus contributing to the resilience of the built environment with a focus on health and safety.</t>
  </si>
  <si>
    <t>The approach aims to enhance the attractiveness of the living and working environment by providing evidence-based feedback on human-centred aspects, improving the overall quality of the built environment in terms of air quality, spatial artefacts, and occupant experience.</t>
  </si>
  <si>
    <t>The implementation of spatial artefacts in BIM models as ProBIM models can be seen as a step towards responsible resource use, contributing to the development of smarter and more efficient building infrastructures.</t>
  </si>
  <si>
    <t>The development of ProBIM models and the consideration of human-centred aspects in early design stages can contribute to creating better living and working environments, ultimately enhancing the well-being of occupants.</t>
  </si>
  <si>
    <t>The development of spatial artefacts in BIM models contributes to responsible resource use by focusing on the efficient management of community smart infrastructures, particularly in relation to air quality, thermal comfort, and visibility.</t>
  </si>
  <si>
    <t>The text mentions the integration of qualitative interpretations of air flow data based on psychology, ergonomics, and architecture research, which can contribute to the preservation and improvement of ecosystem services by considering the impact on air quality and thermal comfort.</t>
  </si>
  <si>
    <t>The use case aims to provide rapid feedback on LCA metrics at an early design stage, utilizing innovative and creative approaches to integrate sustainability metrics into the design process.</t>
  </si>
  <si>
    <t>The proposed tool integrates with BIM-based design tools such as Revit, demonstrating a focus on smart infrastructure to enhance the sustainable design practices at a building scale.</t>
  </si>
  <si>
    <t>The use case focuses on providing rapid feedback on LCA metrics at an early design stage, which contributes to responsible resource use by enabling architects to make informed decisions about building materials, components, and designs. This can lead to the improvement of the living and working environment by integrating sustainability metrics directly into the design process, promoting the use of environmentally responsible materials and designs.</t>
  </si>
  <si>
    <t>The use case contributes to the preservation and improvement of the environment by enabling architects to consider the impacts of their design choices on biodiversity and ecosystem services through the visualization and analysis of LCA metrics. It promotes awareness and understanding of the importance of biodiversity and ecosystem services in building design, supporting the integration of sustainable practices that benefit the environment.</t>
  </si>
  <si>
    <t>By providing real-time feedback on LCA impacts, the use case indirectly supports the consideration of biodiversity and ecosystem services in building design decisions.</t>
  </si>
  <si>
    <t>The Climate Change Awareness Assessment survey will be prepared by Smart Innovation Norway colleagues over the course of summer 2023. It will be ready to be cascaded online with the help of Alchemer software in September 2023. In case of the Aarhus Living Lab, our target group is the students and staff of Aarhus University. We will appreciate the help of AU administration or the student council to reach as many respondents as possible. The survey will be translated to Danish to ensure the proper understanding of the questions by every participant.  The results from this assessment are expected to be processed by December 2023 and will be used to inform communication activities and behavioural change interventions. .</t>
  </si>
  <si>
    <t>The text focuses on the preparation of a Climate Change Awareness Assessment survey, which demonstrates a commitment to innovation, creativity, and research in addressing climate change resilience at the building scale.</t>
  </si>
  <si>
    <t>The survey aims to engage the students and staff of Aarhus University, demonstrating a focus on education and capacity building at the neighbourhood scale to promote social cohesion and awareness of climate change issues.</t>
  </si>
  <si>
    <t>AAR-A-UC1: Provide rapid feedback on LCA metrics at an early design stage
AAR-A-UC1: Provide rapid feedback on LCA metrics at an early design stage
Use Case description
The design team (including architects) is in the early design stage of designing The Kitchen 2.0 and BSS buildings, and needs information on the estimated CO2 footprint, energy consumption, and other LCA metrics. Two problems are as follows:
The designs of the current Kitchen 2.0 and BSS buildings currently lack many specific details, such as the specific materials of various building components, their exact geometries, and so on.
There is a relatively high degree of uncertainty in how those missing details will be filled in as the design continues to develop. For example, in the current design a slab is assigned a particular geometry and volume, but the designer knows that this shape will certainly be “tweaked” and changed later, but it’s difficult to say concretely. This makes it difficult to estimate the final LCA score of the current design.
The following figure is an example of the level of design that The Kitchen 2.0 is in:
Figure 32: Aarhus LL - Example of the level of design that The Kitchen 2.0
The design team needs information on:
design sensitivity: which (small) changes have a disproportionately large impact on LCA metrics
what kinds of changes to particular building components are (1) feasible, sensible, plausible and (2) likely.
The Probono decision support tool includes Consequential LCA calculations (how CO2, energy usage etc. change in response to possible decisions), adapted to make estimates on early- stage designs.
This includes a new “sustainability opportunity metric” for identifying “hot spots”, aspects in the design where changes are likely and can have a drastic impact on LCA metrics. LCA metrics should be calculated quickly (in the order of fractions of a second) so that the metric estimates are updated in real time as the design explores alternative design decisions.
This information should be presented visually, by colour coding building elements. Ideally this would be integrated directly into a BIM-based design tool such as Revit, although the main software module responsible for calculating the metrics is developed as an independent external software tool that can (in principle) be “plugged in” to other BIM design tools or used as a stand-alone command-line tool.
The following figures illustrate our current prototypes implemented in the BIM tool Revit.
Table 25: Aarhus LL - Threshold cut-off with four α values in sustainability opportunity mode
User / Actor
Architects:
Domain / Scope: Building Design
Benefit: Instant feedback on LCA impacts at a relatively early design stage.
User Scenario
The architect is working on their current design in Revit
They click a button “Activate: sustainability opportunity metric” (implemented as a custom plug-in)
The visualization of their 3D BIM appears in a colour coded form (as illustrated in above figures)
A floating panel contains options for selecting one from a set of sustainability opportunity metrics, and displaying a more detailed textual read-out of the analysis
The designer makes changes to their design in Revit, and the colours are updated automatically (within less than a second) in response to the design change
The architect untoggles the “Activate sustainability opportunity metric” button to return to the standard Revit visualisation. .</t>
  </si>
  <si>
    <t>## Exec summary
The work on Life Cycle Control blueprint offers a detailed analysis of climate change, with a
specific focus on its implications for GBNs and the construction lifecycle. It describes the
multidimensional impacts of climate change, evaluating vulnerabilities and risks, and outlines
the identification of KPIs as essential tools for monitoring and mitigating the effects of climate
change on GBNs.
The Life Cycle Control blueprint provides an assessment of the primary risks faced by the
different Living Labs and proposes potential KPIs to measure and track the performance of GBNs
in the context of climate change. It also outlines practical methodologies for data collection and
analysis that are relevant to the identified KPIs. The result provides a strategic roadmap for
developing and achieving sustainable and resilient GBNs.
The work on logistical workflow planning explores the complexities of construction and
renovation workflows, emphasizing economic, chronological, and sustainability considerations.
Advanced methods and the transformative role ICT are highlighted, focusing on Digital Twin BIM
and IoT technologies deployment. The results of the performed analysis consist of
methodological and technological guidelines underscoring the importance of a holistic approach
for advancing construction logistics, especially in the sustainability aspects. The integration of
ICT tools can be, thus, crucial for informed decision-making, ultimately enhancing the efficiency
and sustainability of the construction logistics workflows.
For the work related to Robotic in Construction (RiC), robotica are applied in the form of
drone/scan creation of 3D-models of GBN Campus Viborg (Aarhus LL) to establish an inventory
of construction materials in existing buildings and calculate the embedded GWP in these
materials. Thus, the work in ST3.3.4 is closely linked with ST3.4.12 Upcycling of construction
materials, in that such an inventory underpins the decision to preserve or reuse the largest
possible proportion of existing materials in order to avoid CO₂ emission from the manufacture
of new construction materials. Further a novel software NovaDM is applied to a specific building
in the GBN Campus Viborg, to investigate the optimum use of the embedded GWP when
renovating the building. NovaDM is able to create and investigate large numbers of renovation
scenarios and benchmarking them wrt. GWP. This work is still ongoing.
The current document will be updated an elaborated for the final delivery on D.3.8 in month 36
of PROBONO.
(Notes: GBN stand for Green Buildings Neighbourhoods, GWP for Global Warming Potential)</t>
  </si>
  <si>
    <t>The work explores advanced methods and transformative role ICT, focusing on Digital Twin BIM and IoT technologies deployment, which are crucial for advancing construction logistics, especially in the sustainability aspects.</t>
  </si>
  <si>
    <t>The work outlines practical methodologies for data collection and data analysis relevant to the identified KPIs for monitoring and mitigating the effects of climate change on GBNs, contributing to the resilience of the built environment.</t>
  </si>
  <si>
    <t>The work on Robotic in Construction (RiC) involves the use of drone/scan creation of 3D-models of GBN Campus Viborg (Aarhus LL) to establish an inventory of construction materials in existing buildings. This contributes to the preservation and improvement of environment by helping in the decision to preserve or reuse existing materials to avoid CO2 emissions.</t>
  </si>
  <si>
    <t>The work on logistical workflow planning emphasizes the importance of a holistic approach for advancing construction logistics, especially in the sustainability aspects, contributing to the safety and security of the neighbourhood.</t>
  </si>
  <si>
    <t>The work on logistical workflow planning explores advanced methods and the transformative role ICT, highlighting the importance of a holistic approach for advancing construction logistics in the sustainability aspects, which is essential for the attractiveness of the neighbourhood.</t>
  </si>
  <si>
    <t>I3. Demonstration sites that go beyond NZEB performance: Flagship building specific heating and cooling demand: 0.7 kWh/m2/year. Savings flagship building: 0.5 GWh/year. GBN projection improvement to nZEB 40%.</t>
  </si>
  <si>
    <t>The text highlights the innovation and creativity in achieving a building-specific heating and cooling demand of 0.7 kWh/m2/year, which demonstrates responsible resource use through energy efficiency and reduction of energy consumption.</t>
  </si>
  <si>
    <t>I4. High energy performance: Achieve gold grade in the DGNB-DK certification system.. Achieve Class 2 in the Danish voluntary energy regulation. DGNB Gold corresponds to total performance index of 65% (aggregate across all major categories) and minimum 50% for each category.. FB23 Danish energy regulations corresponds to no more than 12 kg CO2/m2/yr build bigger than 1,000m2 from 2023..</t>
  </si>
  <si>
    <t>The text focuses on achieving high energy performance, which aligns with responsible resource use as it contributes to efficient and sustainable energy consumption.</t>
  </si>
  <si>
    <t>The energy performance goals mentioned in the text align with the preservation and improvement of the environment, as they aim to reduce CO2 emissions and promote energy-efficient building practices.</t>
  </si>
  <si>
    <t>Review of Other</t>
  </si>
  <si>
    <t>Other</t>
  </si>
  <si>
    <t>Aarhus University is ongoing developing into a modern sustainable city integrated Campus, which is named the Campus 2.0. One of the major developments at AU is transforming an adjacent situated hospital into Campus.
Living Lab scope is focus on the specific parts methods and materials, the parts that enable the holistic green neighborhood. The Living Lab aim to develop and test in actual buildings and of course keep functional architecture intact and reinvented net zero sustainable, translating research into building industry relevant products, prototyping green deal transitional examples.
The Probono Living Lab is supporting the transformation into a more sustainable process. In the 141.000m2 former hospital. At the new “University City” Probono LL is focusing on (1) deep refurbishment of one of Europe’s largest business schools “AU BSS, 41.000m2.  And the (2) AU innovation hub “The Kitchen” 3.500m2.
The Living Lab backbone is supporting the two projects to receive the DGNB building certification for sustainable building into gold level, 65% of the theoretical best possible. One task is delivering enhanced decision-making tools to the Architect and Engineer team in order to make better decisions earlier in the process.
The Living Lab is also developing digital twin parallel development and investigation. The Digital Twin are to test different renovation and operation scenarios, and the Living Lab can implement the most promising techniques or material into the physical buildings.
The third Living Lab scope is (3) Energy park development at AU Viborg, a Solar Panel Park is combined with flow battery technology (by VisBlue partner) that will increase the effectivity of solar panels.
AU has already achieved a reduction in energy consumption per full-time employee of 20% since 2006 and they will accelerate this effort via PROBONO by using smart technologies, encouraging sustainable behavior among the users of the university’s buildings, and using the university as an Living Lab, giving students and researchers opportunities to use AU as an active case.
The number of cases will be added ongoing.
PROBONO tasks will focus on design, operation, and maintenance throughout the project.  Details  and the different project timelines will change after PROBONO submission  as a living Lab should develop.</t>
  </si>
  <si>
    <t>The text emphasizes the development and testing of sustainable building industry relevant products, prototyping green deal transitional examples, and delivering enhanced decision-making tools to the Architect and Engineer team in order to make better decisions earlier in the process.</t>
  </si>
  <si>
    <t>The text describes the development of a digital twin to test different renovation and operation scenarios, and the implementation of the most promising techniques or material into the physical buildings, which contributes to the resilience of smart infrastructures.</t>
  </si>
  <si>
    <t>The text highlights the reduction in energy consumption and the encouragement of sustainable behavior among the users of the university’s buildings, contributing to the well-being and health of the community.</t>
  </si>
  <si>
    <t>The text mentions the transformation of the former hospital into a sustainable campus, focusing on deep refurbishment of business schools and innovation hubs, which contributes to economic development and sustainable production and consumption.</t>
  </si>
  <si>
    <t>## Alignment with GBN
The GBN concept significantly benefits from introducing climate change and environmental
considerations into urban development and construction lifecycles. This work contributes to
better understand how environmental changes directly impact GBNs, a core factor for
developing more resilient and sustainable communities. A key aspect of this research is the
assessment of vulnerabilities and risks associated with climate change in urban environments,
as it supports the formulation of robust risk management strategies, ensuring that GBNs can
withstand and adapt to environmental challenges. This work introduces a set of GBN-related
KPIs that support data-driven decision-making processes, enhancing the monitoring, and
evaluation of GBNs, and ultimately hardening their sustainability and resilience. These KPIs
contribute to develop effective policies and practices in urban planning.
Additionally, this research presents a set of data sources and providers, alongside tools for
interoperable data sharing. This approach facilitates a more integrated and cohesive framework
for data management in the context of climate change, needed for the effective implementation
of GBNs.
Logistical flow planning:
GBN concept relies on various aspects related to a holistically sustainable neighbourhood. In this
context the construction or renovation phases of buildings is a crucial aspect where to apply the
most possible efficient and sustainability-oriented measures. Digitalization is a pathway that can
support the decision-making process in the application of construction logistics management
measures. In section 3, an extensive methodological and technological analysis, related to ICT
tools such as BIM and IoT, is presented which can help stakeholders in the implementation of
measures in the different PROBONO Digital Twin Living Labs use cases.
Robotic in Construction:
Robotic in Construction applied in GBN Campus Viborg, part of Aarhus LL, provides data on
embedded GWP in construction materials in existing buildings in the GBN, and investigates
renovations scenarios, benchmarking these according to embedded GWP in the construction
materials preserved and added in each scenario. Thus, the tools applied provides the GBN with
knowledge about the CO₂ emission impact from preserving or reusing (upcycling) the
construction materials. Eventually this will lead to the decisions with the lowest CO₂ emission
for the GBN.
(Notes: GBN stand for Green Buildings Neighbourhoods, GWP for Global Warming Potential)</t>
  </si>
  <si>
    <t>The text highlights the introduction of climate change and environmental considerations into urban development and construction lifecycles, contributing to better understanding of environmental changes impact on GBNs. It introduces a set of GBN-related KPIs for data-driven decision-making processes, enhancing monitoring and evaluation of GBNs, and hardening their sustainability and resilience.</t>
  </si>
  <si>
    <t>The assessment of vulnerabilities and risks associated with climate change in urban environments supports the formulation of robust risk management strategies to ensure GBNs can withstand and adapt to environmental challenges. This contributes to the development of effective policies and practices in urban planning.</t>
  </si>
  <si>
    <t>The use of digitalization for construction logistics management measures supports more efficient and sustainability-oriented practices during the construction or renovation phases of buildings. The mention of Robotic in Construction at GBN Campus Viborg demonstrates a focus on reducing CO₂ emissions through the preservation and reuse of construction materials, promoting responsible resource use.</t>
  </si>
  <si>
    <t>The text mentions data sources, tools for data sharing, and an integrated framework for data management in the context of climate change, which is essential for the effective implementation of Green Buildings Neighbourhoods, enhancing the attractiveness of the community smart infrastructures.</t>
  </si>
  <si>
    <t>The mention of data-driven decision-making processes and KPIs related to GBNs indirectly supports health and care in the community by promoting sustainable and resilient urban environments through climate change adaptation and risk management strategies.</t>
  </si>
  <si>
    <t>The Climate Change Awareness Assessment survey will be prepared by Smart Innovation Norway colleagues over the course of summer 2023. It will be ready to be cascaded online with the help of Alchemer software in September 2023. In case of the Aarhus Living Lab, our target group is the students and staff of Aarhus University. We will appreciate the help of AU administration or the student council to reach as many respondents as possible. The survey will be translated to Danish to ensure the proper understanding of the questions by every participant.  The results from this assessment are expected to be processed by December 2023 and will be used to inform communication activities and behavioural change interventions..</t>
  </si>
  <si>
    <t>The survey aims to raise awareness and understanding of climate change, indicating a focus on capacity building and education to inform the target audience about environmental preservation and improvement.</t>
  </si>
  <si>
    <t>The use of Alchemer software for cascading the survey online demonstrates an innovative approach to resource use and research, aligning with responsible resource use.</t>
  </si>
  <si>
    <t>The survey outlines plans to engage with Aarhus University administration and the student council, emphasizing governance, empowerment, and stakeholder engagement for social cohesion and community involvement in climate change awareness.</t>
  </si>
  <si>
    <t>The assessment is intended to inform communication activities and behavioral change interventions, indicating a consideration for safety and security in addressing climate change impacts and resilience planning.</t>
  </si>
  <si>
    <t>I1. Primary energy savings : Flagship Building energy demand: 1.2 GWh/year. Savings: 0.8 GWh/year. GBN projection: 3 GWh/year.</t>
  </si>
  <si>
    <t>The text highlights the primary energy savings and the reduction in building energy demand, indicating a strong focus on responsible resource use and sustainable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</si>
</sst>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lue]\ #,##0;&quot;  - &quot;#,##0\ ;\-"/>
  </numFmts>
  <fonts count="18">
    <font>
      <sz val="11"/>
      <color rgb="FF000000"/>
      <name val="Calibri"/>
      <family val="2"/>
      <charset val="1"/>
    </font>
    <font>
      <b/>
      <sz val="11"/>
      <color rgb="FF000000"/>
      <name val="Calibri"/>
      <family val="2"/>
      <charset val="1"/>
    </font>
    <font>
      <sz val="8"/>
      <color rgb="FF808080"/>
      <name val="Calibri"/>
      <family val="2"/>
      <charset val="1"/>
    </font>
    <font>
      <sz val="8"/>
      <color rgb="FF000000"/>
      <name val="Calibri"/>
      <family val="2"/>
      <charset val="1"/>
    </font>
    <font>
      <b/>
      <u/>
      <sz val="11"/>
      <color rgb="FF000000"/>
      <name val="Calibri"/>
      <family val="2"/>
      <charset val="1"/>
    </font>
    <font>
      <u/>
      <sz val="11"/>
      <color rgb="FF000000"/>
      <name val="Calibri"/>
      <family val="2"/>
      <charset val="1"/>
    </font>
    <font>
      <i/>
      <sz val="11"/>
      <color rgb="FFBFBFBF"/>
      <name val="Calibri"/>
      <family val="2"/>
      <charset val="1"/>
    </font>
    <font>
      <sz val="9"/>
      <color rgb="FF000000"/>
      <name val="Calibri"/>
      <family val="2"/>
      <charset val="1"/>
    </font>
    <font>
      <b/>
      <sz val="11"/>
      <color rgb="FFA6A6A6"/>
      <name val="Calibri"/>
      <family val="2"/>
      <charset val="1"/>
    </font>
    <font>
      <sz val="11"/>
      <color rgb="FFA6A6A6"/>
      <name val="Calibri"/>
      <family val="2"/>
      <charset val="1"/>
    </font>
    <font>
      <b/>
      <sz val="12"/>
      <color rgb="FF000000"/>
      <name val="Calibri"/>
      <family val="2"/>
      <charset val="1"/>
    </font>
    <font>
      <sz val="8"/>
      <color rgb="FF000000"/>
      <name val="Lucida Sans Typewriter"/>
      <family val="3"/>
      <charset val="1"/>
    </font>
    <font>
      <b/>
      <sz val="10"/>
      <color rgb="FF000000"/>
      <name val="Calibri"/>
      <family val="2"/>
      <charset val="1"/>
    </font>
    <font>
      <i/>
      <sz val="10"/>
      <color rgb="FF000000"/>
      <name val="Calibri"/>
      <family val="2"/>
      <charset val="1"/>
    </font>
    <font>
      <b/>
      <sz val="14"/>
      <color rgb="FF000000"/>
      <name val="Calibri"/>
      <family val="2"/>
      <charset val="1"/>
    </font>
    <font>
      <b/>
      <sz val="11"/>
      <color rgb="FF000000"/>
      <name val="Arial"/>
      <family val="2"/>
      <charset val="1"/>
    </font>
    <font>
      <b/>
      <sz val="9"/>
      <color rgb="FF000000"/>
      <name val="Arial"/>
      <family val="2"/>
      <charset val="1"/>
    </font>
    <font>
      <sz val="9"/>
      <color rgb="FF000000"/>
      <name val="Arial"/>
      <family val="2"/>
      <charset val="1"/>
    </font>
  </fonts>
  <fills count="10">
    <fill>
      <patternFill patternType="none"/>
    </fill>
    <fill>
      <patternFill patternType="gray125"/>
    </fill>
    <fill>
      <patternFill patternType="solid">
        <fgColor rgb="FFFFFFD7"/>
        <bgColor rgb="FFFFF2CC"/>
      </patternFill>
    </fill>
    <fill>
      <patternFill patternType="solid">
        <fgColor rgb="FFE2EFD9"/>
        <bgColor rgb="FFE2F0D9"/>
      </patternFill>
    </fill>
    <fill>
      <patternFill patternType="solid">
        <fgColor rgb="FFA8D08D"/>
        <bgColor rgb="FFC5E0B4"/>
      </patternFill>
    </fill>
    <fill>
      <patternFill patternType="solid">
        <fgColor rgb="FF538135"/>
        <bgColor rgb="FF808000"/>
      </patternFill>
    </fill>
    <fill>
      <patternFill patternType="solid">
        <fgColor rgb="FFF2F2F2"/>
        <bgColor rgb="FFE7E6E6"/>
      </patternFill>
    </fill>
    <fill>
      <patternFill patternType="solid">
        <fgColor rgb="FFFFF2CC"/>
        <bgColor rgb="FFFFFFD7"/>
      </patternFill>
    </fill>
    <fill>
      <patternFill patternType="solid">
        <fgColor rgb="FFE7E6E6"/>
        <bgColor rgb="FFE2EFD9"/>
      </patternFill>
    </fill>
    <fill>
      <patternFill patternType="solid">
        <fgColor rgb="FFFFFFFF"/>
        <bgColor rgb="FFF2F2F2"/>
      </patternFill>
    </fill>
  </fills>
  <borders count="28">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top style="medium">
        <color auto="1"/>
      </top>
      <bottom/>
      <diagonal/>
    </border>
    <border>
      <left style="medium">
        <color rgb="FF808080"/>
      </left>
      <right style="medium">
        <color rgb="FF808080"/>
      </right>
      <top style="medium">
        <color rgb="FF808080"/>
      </top>
      <bottom style="medium">
        <color rgb="FF808080"/>
      </bottom>
      <diagonal/>
    </border>
    <border>
      <left/>
      <right/>
      <top style="thin">
        <color auto="1"/>
      </top>
      <bottom style="thin">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style="medium">
        <color auto="1"/>
      </right>
      <top/>
      <bottom/>
      <diagonal/>
    </border>
    <border>
      <left/>
      <right/>
      <top/>
      <bottom style="medium">
        <color auto="1"/>
      </bottom>
      <diagonal/>
    </border>
  </borders>
  <cellStyleXfs count="1">
    <xf numFmtId="0" fontId="0" fillId="0" borderId="0"/>
  </cellStyleXfs>
  <cellXfs count="99">
    <xf numFmtId="0" fontId="0" fillId="0" borderId="0" xfId="0"/>
    <xf numFmtId="0" fontId="0" fillId="0" borderId="0" xfId="0" applyAlignment="1">
      <alignment horizontal="left"/>
    </xf>
    <xf numFmtId="0" fontId="1" fillId="0" borderId="0" xfId="0" applyFont="1" applyAlignment="1">
      <alignment horizontal="center"/>
    </xf>
    <xf numFmtId="0" fontId="2" fillId="0" borderId="0" xfId="0" applyFont="1" applyAlignment="1">
      <alignment horizontal="left"/>
    </xf>
    <xf numFmtId="0" fontId="3" fillId="0" borderId="0" xfId="0" applyFont="1" applyAlignment="1">
      <alignment horizontal="left"/>
    </xf>
    <xf numFmtId="0" fontId="4" fillId="0" borderId="1" xfId="0" applyFont="1"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right" vertical="center"/>
    </xf>
    <xf numFmtId="0" fontId="5" fillId="0" borderId="0" xfId="0" applyFont="1"/>
    <xf numFmtId="0" fontId="0" fillId="0" borderId="0" xfId="0" applyAlignment="1">
      <alignment horizontal="left" vertical="top"/>
    </xf>
    <xf numFmtId="0" fontId="4" fillId="0" borderId="1" xfId="0" applyFont="1" applyBorder="1" applyAlignment="1">
      <alignment horizontal="right" indent="1"/>
    </xf>
    <xf numFmtId="0" fontId="0" fillId="2" borderId="1" xfId="0" applyFill="1" applyBorder="1" applyAlignment="1">
      <alignment horizontal="left" vertical="top"/>
    </xf>
    <xf numFmtId="0" fontId="4" fillId="0" borderId="0" xfId="0" applyFont="1"/>
    <xf numFmtId="0" fontId="7" fillId="6" borderId="3" xfId="0" applyFont="1" applyFill="1" applyBorder="1" applyAlignment="1">
      <alignment horizontal="center" vertical="center" wrapText="1"/>
    </xf>
    <xf numFmtId="0" fontId="7" fillId="0" borderId="3" xfId="0" applyFont="1" applyBorder="1" applyAlignment="1">
      <alignment horizontal="center" vertical="center" wrapText="1"/>
    </xf>
    <xf numFmtId="14" fontId="0" fillId="2" borderId="1" xfId="0" applyNumberFormat="1" applyFill="1" applyBorder="1" applyAlignment="1">
      <alignment horizontal="left" vertical="top"/>
    </xf>
    <xf numFmtId="0" fontId="7" fillId="0" borderId="4" xfId="0" applyFont="1" applyBorder="1" applyAlignment="1">
      <alignment horizontal="center" vertical="center" wrapText="1"/>
    </xf>
    <xf numFmtId="164" fontId="0" fillId="6" borderId="3" xfId="0" applyNumberFormat="1" applyFill="1" applyBorder="1" applyAlignment="1">
      <alignment horizontal="center" vertical="center" wrapText="1"/>
    </xf>
    <xf numFmtId="164" fontId="0" fillId="0" borderId="3" xfId="0" applyNumberFormat="1" applyBorder="1" applyAlignment="1">
      <alignment horizontal="center" vertical="center" wrapText="1"/>
    </xf>
    <xf numFmtId="0" fontId="4" fillId="0" borderId="0" xfId="0" applyFont="1" applyAlignment="1">
      <alignment horizontal="right" indent="1"/>
    </xf>
    <xf numFmtId="0" fontId="5" fillId="0" borderId="0" xfId="0" applyFont="1" applyAlignment="1">
      <alignment horizontal="right" indent="1"/>
    </xf>
    <xf numFmtId="0" fontId="8" fillId="0" borderId="0" xfId="0" applyFont="1" applyAlignment="1">
      <alignment horizontal="right" indent="1"/>
    </xf>
    <xf numFmtId="0" fontId="9" fillId="0" borderId="0" xfId="0" applyFont="1"/>
    <xf numFmtId="0" fontId="0" fillId="0" borderId="0" xfId="0" applyAlignment="1">
      <alignment horizontal="left" wrapText="1"/>
    </xf>
    <xf numFmtId="0" fontId="10" fillId="0" borderId="0" xfId="0" applyFont="1" applyAlignment="1">
      <alignment horizontal="left" wrapText="1"/>
    </xf>
    <xf numFmtId="0" fontId="4" fillId="0" borderId="1" xfId="0" applyFont="1" applyBorder="1" applyAlignment="1">
      <alignment horizontal="center"/>
    </xf>
    <xf numFmtId="0" fontId="4" fillId="0" borderId="5" xfId="0" applyFont="1" applyBorder="1" applyAlignment="1">
      <alignment horizontal="center" wrapText="1"/>
    </xf>
    <xf numFmtId="0" fontId="1" fillId="0" borderId="6" xfId="0" applyFont="1" applyBorder="1" applyAlignment="1">
      <alignment horizontal="left" vertical="top"/>
    </xf>
    <xf numFmtId="0" fontId="0" fillId="0" borderId="7" xfId="0" applyBorder="1" applyAlignment="1">
      <alignment horizontal="left" vertical="top" wrapText="1"/>
    </xf>
    <xf numFmtId="0" fontId="1" fillId="0" borderId="8" xfId="0" applyFont="1" applyBorder="1" applyAlignment="1">
      <alignment horizontal="left" vertical="top"/>
    </xf>
    <xf numFmtId="0" fontId="0" fillId="0" borderId="9" xfId="0" applyBorder="1" applyAlignment="1">
      <alignment horizontal="left" vertical="top" wrapText="1"/>
    </xf>
    <xf numFmtId="0" fontId="0" fillId="7" borderId="9" xfId="0" applyFill="1" applyBorder="1" applyAlignment="1">
      <alignment horizontal="left" vertical="top" wrapText="1"/>
    </xf>
    <xf numFmtId="0" fontId="1" fillId="0" borderId="10" xfId="0" applyFont="1" applyBorder="1" applyAlignment="1">
      <alignment horizontal="left" vertical="top"/>
    </xf>
    <xf numFmtId="0" fontId="0" fillId="0" borderId="11" xfId="0" applyBorder="1" applyAlignment="1">
      <alignment horizontal="left" vertical="top" wrapText="1"/>
    </xf>
    <xf numFmtId="0" fontId="4" fillId="0" borderId="5" xfId="0" applyFont="1" applyBorder="1" applyAlignment="1">
      <alignment horizontal="center" vertical="center" wrapText="1"/>
    </xf>
    <xf numFmtId="0" fontId="0" fillId="0" borderId="7" xfId="0" applyBorder="1" applyAlignment="1">
      <alignment horizontal="left" wrapText="1"/>
    </xf>
    <xf numFmtId="0" fontId="0" fillId="0" borderId="9" xfId="0" applyBorder="1" applyAlignment="1">
      <alignment horizontal="left" wrapText="1"/>
    </xf>
    <xf numFmtId="0" fontId="0" fillId="0" borderId="11" xfId="0" applyBorder="1" applyAlignment="1">
      <alignment horizontal="left" wrapText="1"/>
    </xf>
    <xf numFmtId="0" fontId="1" fillId="0" borderId="12" xfId="0" applyFont="1" applyBorder="1" applyAlignment="1">
      <alignment horizontal="left" vertical="top" wrapText="1"/>
    </xf>
    <xf numFmtId="0" fontId="1" fillId="0" borderId="1" xfId="0" applyFont="1" applyBorder="1" applyAlignment="1">
      <alignment horizontal="left" vertical="top" wrapText="1"/>
    </xf>
    <xf numFmtId="0" fontId="1" fillId="0" borderId="12" xfId="0" applyFont="1" applyBorder="1" applyAlignment="1">
      <alignment horizontal="center" vertical="top" wrapText="1"/>
    </xf>
    <xf numFmtId="0" fontId="11" fillId="0" borderId="12" xfId="0" applyFont="1" applyBorder="1" applyAlignment="1">
      <alignment horizontal="center" vertical="center" wrapText="1"/>
    </xf>
    <xf numFmtId="0" fontId="11" fillId="2" borderId="1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3" fillId="0" borderId="0" xfId="0" applyFont="1"/>
    <xf numFmtId="0" fontId="15" fillId="8" borderId="0" xfId="0" applyFont="1" applyFill="1"/>
    <xf numFmtId="0" fontId="0" fillId="8" borderId="0" xfId="0" applyFill="1"/>
    <xf numFmtId="0" fontId="16" fillId="9" borderId="18" xfId="0" applyFont="1" applyFill="1" applyBorder="1" applyAlignment="1">
      <alignment horizontal="center" vertical="center" wrapText="1"/>
    </xf>
    <xf numFmtId="0" fontId="17" fillId="9" borderId="18" xfId="0" applyFont="1" applyFill="1" applyBorder="1" applyAlignment="1">
      <alignment horizontal="left" vertical="center" wrapText="1"/>
    </xf>
    <xf numFmtId="0" fontId="0" fillId="0" borderId="0" xfId="0" applyAlignment="1">
      <alignment horizontal="center" vertical="center"/>
    </xf>
    <xf numFmtId="0" fontId="16" fillId="8" borderId="0" xfId="0" applyFont="1" applyFill="1"/>
    <xf numFmtId="0" fontId="7" fillId="8" borderId="0" xfId="0" applyFont="1" applyFill="1" applyAlignment="1">
      <alignment horizontal="center" vertical="center"/>
    </xf>
    <xf numFmtId="0" fontId="7" fillId="8" borderId="0" xfId="0" applyFont="1" applyFill="1"/>
    <xf numFmtId="0" fontId="1" fillId="0" borderId="0" xfId="0" applyFont="1" applyAlignment="1">
      <alignment horizontal="center"/>
    </xf>
    <xf numFmtId="0" fontId="0" fillId="0" borderId="0" xfId="0" applyAlignment="1">
      <alignment horizontal="left"/>
    </xf>
    <xf numFmtId="0" fontId="6" fillId="0" borderId="2" xfId="0" applyFont="1" applyBorder="1" applyAlignment="1">
      <alignment horizontal="center" vertical="center" wrapText="1"/>
    </xf>
    <xf numFmtId="0" fontId="4" fillId="0" borderId="1" xfId="0" applyFont="1" applyBorder="1" applyAlignment="1">
      <alignment horizontal="right" vertical="top" indent="1"/>
    </xf>
    <xf numFmtId="0" fontId="0" fillId="3" borderId="2" xfId="0" applyFill="1" applyBorder="1" applyAlignment="1">
      <alignment horizontal="center" vertical="center" wrapText="1"/>
    </xf>
    <xf numFmtId="0" fontId="1" fillId="0" borderId="0" xfId="0" applyFont="1" applyAlignment="1">
      <alignment horizontal="center" vertical="center"/>
    </xf>
    <xf numFmtId="0" fontId="0" fillId="5" borderId="2" xfId="0" applyFill="1" applyBorder="1" applyAlignment="1">
      <alignment horizontal="center" vertical="center" wrapText="1"/>
    </xf>
    <xf numFmtId="0" fontId="0" fillId="0" borderId="1" xfId="0" applyBorder="1" applyAlignment="1">
      <alignment horizontal="left" vertical="center"/>
    </xf>
    <xf numFmtId="0" fontId="0" fillId="4" borderId="2" xfId="0" applyFill="1" applyBorder="1" applyAlignment="1">
      <alignment horizontal="center" vertical="center" wrapText="1"/>
    </xf>
    <xf numFmtId="0" fontId="1" fillId="0" borderId="8" xfId="0" applyFont="1" applyBorder="1" applyAlignment="1">
      <alignment horizontal="left" vertical="top"/>
    </xf>
    <xf numFmtId="0" fontId="14" fillId="0" borderId="0" xfId="0" applyFont="1" applyAlignment="1">
      <alignment horizontal="center"/>
    </xf>
    <xf numFmtId="0" fontId="12" fillId="0" borderId="16" xfId="0" applyFont="1" applyBorder="1" applyAlignment="1">
      <alignment horizontal="left" vertical="center" wrapText="1"/>
    </xf>
    <xf numFmtId="0" fontId="12" fillId="0" borderId="16" xfId="0" applyFont="1" applyBorder="1" applyAlignment="1">
      <alignment horizontal="left" vertical="top" wrapText="1"/>
    </xf>
    <xf numFmtId="0" fontId="0" fillId="2" borderId="1" xfId="0" applyFill="1" applyBorder="1" applyAlignment="1">
      <alignment horizontal="left" vertical="top" wrapText="1"/>
    </xf>
    <xf numFmtId="0" fontId="11" fillId="2" borderId="12" xfId="0" applyFont="1" applyFill="1" applyBorder="1" applyAlignment="1">
      <alignment vertical="center" wrapText="1"/>
    </xf>
    <xf numFmtId="0" fontId="1" fillId="0" borderId="2" xfId="0" applyFont="1" applyBorder="1" applyAlignment="1">
      <alignment horizontal="center" vertical="center" textRotation="90"/>
    </xf>
    <xf numFmtId="0" fontId="0" fillId="0" borderId="2" xfId="0" applyBorder="1" applyAlignment="1">
      <alignment horizontal="center" vertical="center" wrapText="1"/>
    </xf>
    <xf numFmtId="0" fontId="1" fillId="0" borderId="1" xfId="0" applyFont="1" applyBorder="1" applyAlignment="1">
      <alignment horizontal="right" vertical="top" wrapText="1"/>
    </xf>
    <xf numFmtId="0" fontId="12" fillId="0" borderId="4" xfId="0" applyFont="1" applyBorder="1" applyAlignment="1">
      <alignment horizontal="left" vertical="center" wrapText="1"/>
    </xf>
    <xf numFmtId="0" fontId="12" fillId="0" borderId="4" xfId="0" applyFont="1" applyBorder="1" applyAlignment="1">
      <alignment horizontal="left" vertical="top" wrapText="1"/>
    </xf>
    <xf numFmtId="0" fontId="1" fillId="0" borderId="14" xfId="0" applyFont="1" applyBorder="1" applyAlignment="1">
      <alignment horizontal="right"/>
    </xf>
    <xf numFmtId="0" fontId="13" fillId="0" borderId="17" xfId="0" applyFont="1" applyBorder="1" applyAlignment="1">
      <alignment horizontal="left" vertical="center" wrapText="1"/>
    </xf>
    <xf numFmtId="0" fontId="0" fillId="0" borderId="13" xfId="0" applyBorder="1" applyAlignment="1">
      <alignment horizontal="left" vertical="top" wrapText="1"/>
    </xf>
    <xf numFmtId="0" fontId="1" fillId="0" borderId="12" xfId="0" applyFont="1" applyBorder="1" applyAlignment="1">
      <alignment horizontal="left" vertical="top" wrapText="1"/>
    </xf>
    <xf numFmtId="0" fontId="1" fillId="0" borderId="15" xfId="0" applyFont="1" applyBorder="1" applyAlignment="1">
      <alignment horizontal="center" vertical="top" wrapText="1"/>
    </xf>
    <xf numFmtId="0" fontId="1" fillId="0" borderId="15" xfId="0" applyFont="1" applyBorder="1" applyAlignment="1">
      <alignment horizontal="center" vertical="center" wrapText="1"/>
    </xf>
    <xf numFmtId="0" fontId="0" fillId="0" borderId="1" xfId="0" applyBorder="1" applyAlignment="1">
      <alignment horizontal="left" vertical="top" wrapText="1"/>
    </xf>
    <xf numFmtId="0" fontId="0" fillId="0" borderId="0" xfId="0" applyAlignment="1"/>
    <xf numFmtId="0" fontId="0" fillId="0" borderId="19" xfId="0" applyBorder="1" applyAlignment="1"/>
    <xf numFmtId="0" fontId="0" fillId="0" borderId="5" xfId="0" applyBorder="1" applyAlignment="1"/>
    <xf numFmtId="0" fontId="0" fillId="0" borderId="21" xfId="0" applyBorder="1" applyAlignment="1"/>
    <xf numFmtId="0" fontId="0" fillId="0" borderId="4" xfId="0" applyBorder="1" applyAlignment="1"/>
    <xf numFmtId="0" fontId="0" fillId="0" borderId="8" xfId="0" applyBorder="1" applyAlignment="1"/>
    <xf numFmtId="0" fontId="0" fillId="0" borderId="10" xfId="0" applyBorder="1" applyAlignment="1"/>
    <xf numFmtId="0" fontId="0" fillId="2" borderId="13" xfId="0" applyFill="1" applyBorder="1" applyAlignment="1"/>
    <xf numFmtId="0" fontId="0" fillId="0" borderId="22" xfId="0" applyBorder="1" applyAlignment="1"/>
    <xf numFmtId="0" fontId="0" fillId="0" borderId="23" xfId="0" applyBorder="1" applyAlignment="1"/>
    <xf numFmtId="0" fontId="0" fillId="0" borderId="24" xfId="0" applyBorder="1" applyAlignment="1"/>
    <xf numFmtId="0" fontId="0" fillId="0" borderId="25" xfId="0" applyBorder="1" applyAlignment="1"/>
    <xf numFmtId="0" fontId="0" fillId="0" borderId="17" xfId="0" applyBorder="1" applyAlignment="1"/>
    <xf numFmtId="0" fontId="0" fillId="0" borderId="20" xfId="0" applyBorder="1" applyAlignment="1"/>
    <xf numFmtId="0" fontId="0" fillId="0" borderId="16" xfId="0" applyBorder="1" applyAlignment="1"/>
    <xf numFmtId="0" fontId="0" fillId="0" borderId="26" xfId="0" applyBorder="1" applyAlignment="1"/>
    <xf numFmtId="0" fontId="0" fillId="0" borderId="27" xfId="0" applyBorder="1" applyAlignment="1"/>
    <xf numFmtId="0" fontId="0" fillId="0" borderId="3" xfId="0" applyBorder="1" applyAlignment="1"/>
  </cellXfs>
  <cellStyles count="1">
    <cellStyle name="Normal" xfId="0" builtinId="0"/>
  </cellStyles>
  <dxfs count="594">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D7"/>
      <rgbColor rgb="FFE2EFD9"/>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F2F2F2"/>
      <rgbColor rgb="FFE2F0D9"/>
      <rgbColor rgb="FFFFF2CC"/>
      <rgbColor rgb="FFC5E0B4"/>
      <rgbColor rgb="FFE7E6E6"/>
      <rgbColor rgb="FFCC99FF"/>
      <rgbColor rgb="FFF8CBAD"/>
      <rgbColor rgb="FF3366FF"/>
      <rgbColor rgb="FF33CCCC"/>
      <rgbColor rgb="FFA8D08D"/>
      <rgbColor rgb="FFFFCC00"/>
      <rgbColor rgb="FFFF9900"/>
      <rgbColor rgb="FFFF6600"/>
      <rgbColor rgb="FF666699"/>
      <rgbColor rgb="FFA6A6A6"/>
      <rgbColor rgb="FF003366"/>
      <rgbColor rgb="FF538135"/>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380880</xdr:colOff>
      <xdr:row>0</xdr:row>
      <xdr:rowOff>123840</xdr:rowOff>
    </xdr:from>
    <xdr:to>
      <xdr:col>9</xdr:col>
      <xdr:colOff>465480</xdr:colOff>
      <xdr:row>11</xdr:row>
      <xdr:rowOff>19800</xdr:rowOff>
    </xdr:to>
    <xdr:pic>
      <xdr:nvPicPr>
        <xdr:cNvPr id="2" name="Picture 6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4219920" y="123840"/>
          <a:ext cx="3765240" cy="282024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2:V41"/>
  <sheetViews>
    <sheetView showGridLines="0" tabSelected="1" zoomScaleNormal="100" workbookViewId="0">
      <selection activeCell="C25" sqref="C25"/>
    </sheetView>
  </sheetViews>
  <sheetFormatPr defaultColWidth="8.85546875" defaultRowHeight="15"/>
  <cols>
    <col min="1" max="1" width="3.28515625" customWidth="1"/>
    <col min="2" max="2" width="20.7109375" customWidth="1"/>
    <col min="3" max="3" width="25.28515625" style="1" customWidth="1"/>
    <col min="4" max="4" width="3.28515625" customWidth="1"/>
    <col min="5" max="5" width="2.140625" customWidth="1"/>
    <col min="6" max="6" width="25.5703125" customWidth="1"/>
    <col min="7" max="18" width="8.28515625" customWidth="1"/>
    <col min="19" max="19" width="2.140625" customWidth="1"/>
    <col min="21" max="21" width="15.28515625" customWidth="1"/>
    <col min="22" max="22" width="85.85546875" customWidth="1"/>
  </cols>
  <sheetData>
    <row r="2" spans="2:22" ht="15" customHeight="1">
      <c r="B2" s="54" t="s">
        <v>0</v>
      </c>
      <c r="C2" s="55"/>
      <c r="F2" s="59"/>
      <c r="G2" s="81"/>
      <c r="H2" s="81"/>
      <c r="I2" s="81"/>
      <c r="J2" s="81"/>
      <c r="K2" s="81"/>
      <c r="L2" s="81"/>
      <c r="M2" s="81"/>
      <c r="N2" s="81"/>
      <c r="O2" s="81"/>
      <c r="P2" s="81"/>
      <c r="Q2" s="81"/>
      <c r="R2" s="81"/>
    </row>
    <row r="3" spans="2:22" ht="7.5" customHeight="1">
      <c r="B3" s="2"/>
      <c r="C3" s="2"/>
    </row>
    <row r="4" spans="2:22" ht="15" customHeight="1">
      <c r="B4" s="3" t="s">
        <v>1</v>
      </c>
      <c r="C4" s="2"/>
    </row>
    <row r="5" spans="2:22" ht="7.5" customHeight="1">
      <c r="B5" s="4"/>
      <c r="C5" s="2"/>
    </row>
    <row r="6" spans="2:22" ht="50.25" customHeight="1">
      <c r="B6" s="5" t="s">
        <v>2</v>
      </c>
      <c r="C6" s="6" t="s">
        <v>3</v>
      </c>
      <c r="F6" s="7" t="s">
        <v>4</v>
      </c>
      <c r="G6" s="61" t="s">
        <v>5</v>
      </c>
      <c r="H6" s="82"/>
      <c r="I6" s="82"/>
      <c r="J6" s="82"/>
      <c r="K6" s="82"/>
      <c r="L6" s="82"/>
      <c r="M6" s="82"/>
      <c r="N6" s="82"/>
      <c r="O6" s="82"/>
      <c r="P6" s="82"/>
      <c r="Q6" s="82"/>
      <c r="R6" s="83"/>
    </row>
    <row r="7" spans="2:22" ht="15.75" customHeight="1">
      <c r="B7" s="8"/>
      <c r="C7" s="9"/>
    </row>
    <row r="8" spans="2:22" ht="13.9" customHeight="1">
      <c r="B8" s="10" t="s">
        <v>6</v>
      </c>
      <c r="C8" s="11" t="s">
        <v>7</v>
      </c>
      <c r="F8" s="56" t="s">
        <v>8</v>
      </c>
      <c r="G8" s="58" t="s">
        <v>9</v>
      </c>
      <c r="H8" s="84"/>
      <c r="I8" s="62" t="s">
        <v>10</v>
      </c>
      <c r="J8" s="84"/>
      <c r="K8" s="60" t="s">
        <v>11</v>
      </c>
      <c r="L8" s="84"/>
      <c r="M8" s="60" t="s">
        <v>12</v>
      </c>
      <c r="N8" s="84"/>
      <c r="O8" s="58" t="s">
        <v>13</v>
      </c>
      <c r="P8" s="84"/>
      <c r="Q8" s="58" t="s">
        <v>14</v>
      </c>
      <c r="R8" s="84"/>
      <c r="U8" s="12" t="s">
        <v>15</v>
      </c>
      <c r="V8" s="12" t="s">
        <v>2</v>
      </c>
    </row>
    <row r="9" spans="2:22" ht="15.75" customHeight="1">
      <c r="B9" s="10" t="s">
        <v>16</v>
      </c>
      <c r="C9" s="11" t="s">
        <v>17</v>
      </c>
      <c r="F9" s="85"/>
      <c r="G9" s="13" t="s">
        <v>18</v>
      </c>
      <c r="H9" s="13" t="s">
        <v>19</v>
      </c>
      <c r="I9" s="14" t="s">
        <v>18</v>
      </c>
      <c r="J9" s="14" t="s">
        <v>19</v>
      </c>
      <c r="K9" s="13" t="s">
        <v>18</v>
      </c>
      <c r="L9" s="13" t="s">
        <v>19</v>
      </c>
      <c r="M9" s="14" t="s">
        <v>18</v>
      </c>
      <c r="N9" s="14" t="s">
        <v>19</v>
      </c>
      <c r="O9" s="13" t="s">
        <v>18</v>
      </c>
      <c r="P9" s="13" t="s">
        <v>19</v>
      </c>
      <c r="Q9" s="14" t="s">
        <v>18</v>
      </c>
      <c r="R9" s="14" t="s">
        <v>19</v>
      </c>
      <c r="U9" t="s">
        <v>20</v>
      </c>
      <c r="V9" t="s">
        <v>21</v>
      </c>
    </row>
    <row r="10" spans="2:22" ht="15.75" customHeight="1">
      <c r="B10" s="10" t="s">
        <v>22</v>
      </c>
      <c r="C10" s="15" t="s">
        <v>23</v>
      </c>
      <c r="F10" s="16" t="str">
        <f>LEFT(Definitions!B12,25)&amp;"…"</f>
        <v>Governance, empowerment a…</v>
      </c>
      <c r="G10" s="17">
        <f>IFERROR(AVERAGE('1ae03038ed69'!C39,'1572eb063e5c'!C39,b6ea66d78823!C39,'6d8dcb722ca4'!C39,'9306b30af184'!C39,'3b760aaeab13'!C39,b2f4402deaee!C39,'1c4d314e87cd'!C39,acd4708edfe6!C39,'9a32b1f50fb5'!C39,'2df562aa32e7'!C39,'3a5a3c04bd9d'!C39,'192241189337'!C39,'23a0423d7f40'!C39,'096252bb3796'!C39,a53d1c7f9645!C39,'283d32631463'!C39,'1a542cfbf2c5'!C39,cf262786a0e1!C39,'4b9efdeaeb40'!C39,'66fab14edc4c'!C39,d9a84a7879b5!C39,caf2b28627a3!C39,'602e9d1875d1'!C39,f168037f7f37!C39,eb071de1ab08!C39,'7b3bd85715a4'!C39,e2a9b537c609!C39,f97457958ce9!C39,'281fcc7d7eae'!C39,'01454b1cfeba'!C39,'79287892b1d7'!C39,'1b3f96535b56'!C39),"")</f>
        <v>4</v>
      </c>
      <c r="H10" s="17">
        <f>IFERROR(AVERAGE('1ae03038ed69'!D39,'1572eb063e5c'!D39,b6ea66d78823!D39,'6d8dcb722ca4'!D39,'9306b30af184'!D39,'3b760aaeab13'!D39,b2f4402deaee!D39,'1c4d314e87cd'!D39,acd4708edfe6!D39,'9a32b1f50fb5'!D39,'2df562aa32e7'!D39,'3a5a3c04bd9d'!D39,'192241189337'!D39,'23a0423d7f40'!D39,'096252bb3796'!D39,a53d1c7f9645!D39,'283d32631463'!D39,'1a542cfbf2c5'!D39,cf262786a0e1!D39,'4b9efdeaeb40'!D39,'66fab14edc4c'!D39,d9a84a7879b5!D39,caf2b28627a3!D39,'602e9d1875d1'!D39,f168037f7f37!D39,eb071de1ab08!D39,'7b3bd85715a4'!D39,e2a9b537c609!D39,f97457958ce9!D39,'281fcc7d7eae'!D39,'01454b1cfeba'!D39,'79287892b1d7'!D39,'1b3f96535b56'!D39),"")</f>
        <v>4.5</v>
      </c>
      <c r="I10" s="18">
        <f>IFERROR(AVERAGE('1ae03038ed69'!E39,'1572eb063e5c'!E39,b6ea66d78823!E39,'6d8dcb722ca4'!E39,'9306b30af184'!E39,'3b760aaeab13'!E39,b2f4402deaee!E39,'1c4d314e87cd'!E39,acd4708edfe6!E39,'9a32b1f50fb5'!E39,'2df562aa32e7'!E39,'3a5a3c04bd9d'!E39,'192241189337'!E39,'23a0423d7f40'!E39,'096252bb3796'!E39,a53d1c7f9645!E39,'283d32631463'!E39,'1a542cfbf2c5'!E39,cf262786a0e1!E39,'4b9efdeaeb40'!E39,'66fab14edc4c'!E39,d9a84a7879b5!E39,caf2b28627a3!E39,'602e9d1875d1'!E39,f168037f7f37!E39,eb071de1ab08!E39,'7b3bd85715a4'!E39,e2a9b537c609!E39,f97457958ce9!E39,'281fcc7d7eae'!E39,'01454b1cfeba'!E39,'79287892b1d7'!E39,'1b3f96535b56'!E39),"")</f>
        <v>4</v>
      </c>
      <c r="J10" s="18">
        <f>IFERROR(AVERAGE('1ae03038ed69'!F39,'1572eb063e5c'!F39,b6ea66d78823!F39,'6d8dcb722ca4'!F39,'9306b30af184'!F39,'3b760aaeab13'!F39,b2f4402deaee!F39,'1c4d314e87cd'!F39,acd4708edfe6!F39,'9a32b1f50fb5'!F39,'2df562aa32e7'!F39,'3a5a3c04bd9d'!F39,'192241189337'!F39,'23a0423d7f40'!F39,'096252bb3796'!F39,a53d1c7f9645!F39,'283d32631463'!F39,'1a542cfbf2c5'!F39,cf262786a0e1!F39,'4b9efdeaeb40'!F39,'66fab14edc4c'!F39,d9a84a7879b5!F39,caf2b28627a3!F39,'602e9d1875d1'!F39,f168037f7f37!F39,eb071de1ab08!F39,'7b3bd85715a4'!F39,e2a9b537c609!F39,f97457958ce9!F39,'281fcc7d7eae'!F39,'01454b1cfeba'!F39,'79287892b1d7'!F39,'1b3f96535b56'!F39),"")</f>
        <v>4</v>
      </c>
      <c r="K10" s="17" t="str">
        <f>IFERROR(AVERAGE('1ae03038ed69'!G39,'1572eb063e5c'!G39,b6ea66d78823!G39,'6d8dcb722ca4'!G39,'9306b30af184'!G39,'3b760aaeab13'!G39,b2f4402deaee!G39,'1c4d314e87cd'!G39,acd4708edfe6!G39,'9a32b1f50fb5'!G39,'2df562aa32e7'!G39,'3a5a3c04bd9d'!G39,'192241189337'!G39,'23a0423d7f40'!G39,'096252bb3796'!G39,a53d1c7f9645!G39,'283d32631463'!G39,'1a542cfbf2c5'!G39,cf262786a0e1!G39,'4b9efdeaeb40'!G39,'66fab14edc4c'!G39,d9a84a7879b5!G39,caf2b28627a3!G39,'602e9d1875d1'!G39,f168037f7f37!G39,eb071de1ab08!G39,'7b3bd85715a4'!G39,e2a9b537c609!G39,f97457958ce9!G39,'281fcc7d7eae'!G39,'01454b1cfeba'!G39,'79287892b1d7'!G39,'1b3f96535b56'!G39),"")</f>
        <v/>
      </c>
      <c r="L10" s="17">
        <f>IFERROR(AVERAGE('1ae03038ed69'!H39,'1572eb063e5c'!H39,b6ea66d78823!H39,'6d8dcb722ca4'!H39,'9306b30af184'!H39,'3b760aaeab13'!H39,b2f4402deaee!H39,'1c4d314e87cd'!H39,acd4708edfe6!H39,'9a32b1f50fb5'!H39,'2df562aa32e7'!H39,'3a5a3c04bd9d'!H39,'192241189337'!H39,'23a0423d7f40'!H39,'096252bb3796'!H39,a53d1c7f9645!H39,'283d32631463'!H39,'1a542cfbf2c5'!H39,cf262786a0e1!H39,'4b9efdeaeb40'!H39,'66fab14edc4c'!H39,d9a84a7879b5!H39,caf2b28627a3!H39,'602e9d1875d1'!H39,f168037f7f37!H39,eb071de1ab08!H39,'7b3bd85715a4'!H39,e2a9b537c609!H39,f97457958ce9!H39,'281fcc7d7eae'!H39,'01454b1cfeba'!H39,'79287892b1d7'!H39,'1b3f96535b56'!H39),"")</f>
        <v>4</v>
      </c>
      <c r="M10" s="18">
        <f>IFERROR(AVERAGE('1ae03038ed69'!I39,'1572eb063e5c'!I39,b6ea66d78823!I39,'6d8dcb722ca4'!I39,'9306b30af184'!I39,'3b760aaeab13'!I39,b2f4402deaee!I39,'1c4d314e87cd'!I39,acd4708edfe6!I39,'9a32b1f50fb5'!I39,'2df562aa32e7'!I39,'3a5a3c04bd9d'!I39,'192241189337'!I39,'23a0423d7f40'!I39,'096252bb3796'!I39,a53d1c7f9645!I39,'283d32631463'!I39,'1a542cfbf2c5'!I39,cf262786a0e1!I39,'4b9efdeaeb40'!I39,'66fab14edc4c'!I39,d9a84a7879b5!I39,caf2b28627a3!I39,'602e9d1875d1'!I39,f168037f7f37!I39,eb071de1ab08!I39,'7b3bd85715a4'!I39,e2a9b537c609!I39,f97457958ce9!I39,'281fcc7d7eae'!I39,'01454b1cfeba'!I39,'79287892b1d7'!I39,'1b3f96535b56'!I39),"")</f>
        <v>5</v>
      </c>
      <c r="N10" s="18">
        <f>IFERROR(AVERAGE('1ae03038ed69'!J39,'1572eb063e5c'!J39,b6ea66d78823!J39,'6d8dcb722ca4'!J39,'9306b30af184'!J39,'3b760aaeab13'!J39,b2f4402deaee!J39,'1c4d314e87cd'!J39,acd4708edfe6!J39,'9a32b1f50fb5'!J39,'2df562aa32e7'!J39,'3a5a3c04bd9d'!J39,'192241189337'!J39,'23a0423d7f40'!J39,'096252bb3796'!J39,a53d1c7f9645!J39,'283d32631463'!J39,'1a542cfbf2c5'!J39,cf262786a0e1!J39,'4b9efdeaeb40'!J39,'66fab14edc4c'!J39,d9a84a7879b5!J39,caf2b28627a3!J39,'602e9d1875d1'!J39,f168037f7f37!J39,eb071de1ab08!J39,'7b3bd85715a4'!J39,e2a9b537c609!J39,f97457958ce9!J39,'281fcc7d7eae'!J39,'01454b1cfeba'!J39,'79287892b1d7'!J39,'1b3f96535b56'!J39),"")</f>
        <v>5</v>
      </c>
      <c r="O10" s="17">
        <f>IFERROR(AVERAGE('1ae03038ed69'!K39,'1572eb063e5c'!K39,b6ea66d78823!K39,'6d8dcb722ca4'!K39,'9306b30af184'!K39,'3b760aaeab13'!K39,b2f4402deaee!K39,'1c4d314e87cd'!K39,acd4708edfe6!K39,'9a32b1f50fb5'!K39,'2df562aa32e7'!K39,'3a5a3c04bd9d'!K39,'192241189337'!K39,'23a0423d7f40'!K39,'096252bb3796'!K39,a53d1c7f9645!K39,'283d32631463'!K39,'1a542cfbf2c5'!K39,cf262786a0e1!K39,'4b9efdeaeb40'!K39,'66fab14edc4c'!K39,d9a84a7879b5!K39,caf2b28627a3!K39,'602e9d1875d1'!K39,f168037f7f37!K39,eb071de1ab08!K39,'7b3bd85715a4'!K39,e2a9b537c609!K39,f97457958ce9!K39,'281fcc7d7eae'!K39,'01454b1cfeba'!K39,'79287892b1d7'!K39,'1b3f96535b56'!K39),"")</f>
        <v>4</v>
      </c>
      <c r="P10" s="17">
        <f>IFERROR(AVERAGE('1ae03038ed69'!L39,'1572eb063e5c'!L39,b6ea66d78823!L39,'6d8dcb722ca4'!L39,'9306b30af184'!L39,'3b760aaeab13'!L39,b2f4402deaee!L39,'1c4d314e87cd'!L39,acd4708edfe6!L39,'9a32b1f50fb5'!L39,'2df562aa32e7'!L39,'3a5a3c04bd9d'!L39,'192241189337'!L39,'23a0423d7f40'!L39,'096252bb3796'!L39,a53d1c7f9645!L39,'283d32631463'!L39,'1a542cfbf2c5'!L39,cf262786a0e1!L39,'4b9efdeaeb40'!L39,'66fab14edc4c'!L39,d9a84a7879b5!L39,caf2b28627a3!L39,'602e9d1875d1'!L39,f168037f7f37!L39,eb071de1ab08!L39,'7b3bd85715a4'!L39,e2a9b537c609!L39,f97457958ce9!L39,'281fcc7d7eae'!L39,'01454b1cfeba'!L39,'79287892b1d7'!L39,'1b3f96535b56'!L39),"")</f>
        <v>4.333333333333333</v>
      </c>
      <c r="Q10" s="18" t="str">
        <f>IFERROR(AVERAGE('1ae03038ed69'!M39,'1572eb063e5c'!M39,b6ea66d78823!M39,'6d8dcb722ca4'!M39,'9306b30af184'!M39,'3b760aaeab13'!M39,b2f4402deaee!M39,'1c4d314e87cd'!M39,acd4708edfe6!M39,'9a32b1f50fb5'!M39,'2df562aa32e7'!M39,'3a5a3c04bd9d'!M39,'192241189337'!M39,'23a0423d7f40'!M39,'096252bb3796'!M39,a53d1c7f9645!M39,'283d32631463'!M39,'1a542cfbf2c5'!M39,cf262786a0e1!M39,'4b9efdeaeb40'!M39,'66fab14edc4c'!M39,d9a84a7879b5!M39,caf2b28627a3!M39,'602e9d1875d1'!M39,f168037f7f37!M39,eb071de1ab08!M39,'7b3bd85715a4'!M39,e2a9b537c609!M39,f97457958ce9!M39,'281fcc7d7eae'!M39,'01454b1cfeba'!M39,'79287892b1d7'!M39,'1b3f96535b56'!M39),"")</f>
        <v/>
      </c>
      <c r="R10" s="18" t="str">
        <f>IFERROR(AVERAGE('1ae03038ed69'!N39,'1572eb063e5c'!N39,b6ea66d78823!N39,'6d8dcb722ca4'!N39,'9306b30af184'!N39,'3b760aaeab13'!N39,b2f4402deaee!N39,'1c4d314e87cd'!N39,acd4708edfe6!N39,'9a32b1f50fb5'!N39,'2df562aa32e7'!N39,'3a5a3c04bd9d'!N39,'192241189337'!N39,'23a0423d7f40'!N39,'096252bb3796'!N39,a53d1c7f9645!N39,'283d32631463'!N39,'1a542cfbf2c5'!N39,cf262786a0e1!N39,'4b9efdeaeb40'!N39,'66fab14edc4c'!N39,d9a84a7879b5!N39,caf2b28627a3!N39,'602e9d1875d1'!N39,f168037f7f37!N39,eb071de1ab08!N39,'7b3bd85715a4'!N39,e2a9b537c609!N39,f97457958ce9!N39,'281fcc7d7eae'!N39,'01454b1cfeba'!N39,'79287892b1d7'!N39,'1b3f96535b56'!N39),"")</f>
        <v/>
      </c>
      <c r="U10" t="s">
        <v>24</v>
      </c>
      <c r="V10" t="s">
        <v>25</v>
      </c>
    </row>
    <row r="11" spans="2:22" ht="15.75" customHeight="1">
      <c r="B11" s="19"/>
      <c r="C11" s="9"/>
      <c r="F11" s="16" t="str">
        <f>LEFT(Definitions!B13,25)&amp;"…"</f>
        <v>Education and capacity bu…</v>
      </c>
      <c r="G11" s="17" t="str">
        <f>IFERROR(AVERAGE('1ae03038ed69'!C40,'1572eb063e5c'!C40,b6ea66d78823!C40,'6d8dcb722ca4'!C40,'9306b30af184'!C40,'3b760aaeab13'!C40,b2f4402deaee!C40,'1c4d314e87cd'!C40,acd4708edfe6!C40,'9a32b1f50fb5'!C40,'2df562aa32e7'!C40,'3a5a3c04bd9d'!C40,'192241189337'!C40,'23a0423d7f40'!C40,'096252bb3796'!C40,a53d1c7f9645!C40,'283d32631463'!C40,'1a542cfbf2c5'!C40,cf262786a0e1!C40,'4b9efdeaeb40'!C40,'66fab14edc4c'!C40,d9a84a7879b5!C40,caf2b28627a3!C40,'602e9d1875d1'!C40,f168037f7f37!C40,eb071de1ab08!C40,'7b3bd85715a4'!C40,e2a9b537c609!C40,f97457958ce9!C40,'281fcc7d7eae'!C40,'01454b1cfeba'!C40,'79287892b1d7'!C40,'1b3f96535b56'!C40),"")</f>
        <v/>
      </c>
      <c r="H11" s="17" t="str">
        <f>IFERROR(AVERAGE('1ae03038ed69'!D40,'1572eb063e5c'!D40,b6ea66d78823!D40,'6d8dcb722ca4'!D40,'9306b30af184'!D40,'3b760aaeab13'!D40,b2f4402deaee!D40,'1c4d314e87cd'!D40,acd4708edfe6!D40,'9a32b1f50fb5'!D40,'2df562aa32e7'!D40,'3a5a3c04bd9d'!D40,'192241189337'!D40,'23a0423d7f40'!D40,'096252bb3796'!D40,a53d1c7f9645!D40,'283d32631463'!D40,'1a542cfbf2c5'!D40,cf262786a0e1!D40,'4b9efdeaeb40'!D40,'66fab14edc4c'!D40,d9a84a7879b5!D40,caf2b28627a3!D40,'602e9d1875d1'!D40,f168037f7f37!D40,eb071de1ab08!D40,'7b3bd85715a4'!D40,e2a9b537c609!D40,f97457958ce9!D40,'281fcc7d7eae'!D40,'01454b1cfeba'!D40,'79287892b1d7'!D40,'1b3f96535b56'!D40),"")</f>
        <v/>
      </c>
      <c r="I11" s="18">
        <f>IFERROR(AVERAGE('1ae03038ed69'!E40,'1572eb063e5c'!E40,b6ea66d78823!E40,'6d8dcb722ca4'!E40,'9306b30af184'!E40,'3b760aaeab13'!E40,b2f4402deaee!E40,'1c4d314e87cd'!E40,acd4708edfe6!E40,'9a32b1f50fb5'!E40,'2df562aa32e7'!E40,'3a5a3c04bd9d'!E40,'192241189337'!E40,'23a0423d7f40'!E40,'096252bb3796'!E40,a53d1c7f9645!E40,'283d32631463'!E40,'1a542cfbf2c5'!E40,cf262786a0e1!E40,'4b9efdeaeb40'!E40,'66fab14edc4c'!E40,d9a84a7879b5!E40,caf2b28627a3!E40,'602e9d1875d1'!E40,f168037f7f37!E40,eb071de1ab08!E40,'7b3bd85715a4'!E40,e2a9b537c609!E40,f97457958ce9!E40,'281fcc7d7eae'!E40,'01454b1cfeba'!E40,'79287892b1d7'!E40,'1b3f96535b56'!E40),"")</f>
        <v>4</v>
      </c>
      <c r="J11" s="18">
        <f>IFERROR(AVERAGE('1ae03038ed69'!F40,'1572eb063e5c'!F40,b6ea66d78823!F40,'6d8dcb722ca4'!F40,'9306b30af184'!F40,'3b760aaeab13'!F40,b2f4402deaee!F40,'1c4d314e87cd'!F40,acd4708edfe6!F40,'9a32b1f50fb5'!F40,'2df562aa32e7'!F40,'3a5a3c04bd9d'!F40,'192241189337'!F40,'23a0423d7f40'!F40,'096252bb3796'!F40,a53d1c7f9645!F40,'283d32631463'!F40,'1a542cfbf2c5'!F40,cf262786a0e1!F40,'4b9efdeaeb40'!F40,'66fab14edc4c'!F40,d9a84a7879b5!F40,caf2b28627a3!F40,'602e9d1875d1'!F40,f168037f7f37!F40,eb071de1ab08!F40,'7b3bd85715a4'!F40,e2a9b537c609!F40,f97457958ce9!F40,'281fcc7d7eae'!F40,'01454b1cfeba'!F40,'79287892b1d7'!F40,'1b3f96535b56'!F40),"")</f>
        <v>4.333333333333333</v>
      </c>
      <c r="K11" s="17" t="str">
        <f>IFERROR(AVERAGE('1ae03038ed69'!G40,'1572eb063e5c'!G40,b6ea66d78823!G40,'6d8dcb722ca4'!G40,'9306b30af184'!G40,'3b760aaeab13'!G40,b2f4402deaee!G40,'1c4d314e87cd'!G40,acd4708edfe6!G40,'9a32b1f50fb5'!G40,'2df562aa32e7'!G40,'3a5a3c04bd9d'!G40,'192241189337'!G40,'23a0423d7f40'!G40,'096252bb3796'!G40,a53d1c7f9645!G40,'283d32631463'!G40,'1a542cfbf2c5'!G40,cf262786a0e1!G40,'4b9efdeaeb40'!G40,'66fab14edc4c'!G40,d9a84a7879b5!G40,caf2b28627a3!G40,'602e9d1875d1'!G40,f168037f7f37!G40,eb071de1ab08!G40,'7b3bd85715a4'!G40,e2a9b537c609!G40,f97457958ce9!G40,'281fcc7d7eae'!G40,'01454b1cfeba'!G40,'79287892b1d7'!G40,'1b3f96535b56'!G40),"")</f>
        <v/>
      </c>
      <c r="L11" s="17" t="str">
        <f>IFERROR(AVERAGE('1ae03038ed69'!H40,'1572eb063e5c'!H40,b6ea66d78823!H40,'6d8dcb722ca4'!H40,'9306b30af184'!H40,'3b760aaeab13'!H40,b2f4402deaee!H40,'1c4d314e87cd'!H40,acd4708edfe6!H40,'9a32b1f50fb5'!H40,'2df562aa32e7'!H40,'3a5a3c04bd9d'!H40,'192241189337'!H40,'23a0423d7f40'!H40,'096252bb3796'!H40,a53d1c7f9645!H40,'283d32631463'!H40,'1a542cfbf2c5'!H40,cf262786a0e1!H40,'4b9efdeaeb40'!H40,'66fab14edc4c'!H40,d9a84a7879b5!H40,caf2b28627a3!H40,'602e9d1875d1'!H40,f168037f7f37!H40,eb071de1ab08!H40,'7b3bd85715a4'!H40,e2a9b537c609!H40,f97457958ce9!H40,'281fcc7d7eae'!H40,'01454b1cfeba'!H40,'79287892b1d7'!H40,'1b3f96535b56'!H40),"")</f>
        <v/>
      </c>
      <c r="M11" s="18" t="str">
        <f>IFERROR(AVERAGE('1ae03038ed69'!I40,'1572eb063e5c'!I40,b6ea66d78823!I40,'6d8dcb722ca4'!I40,'9306b30af184'!I40,'3b760aaeab13'!I40,b2f4402deaee!I40,'1c4d314e87cd'!I40,acd4708edfe6!I40,'9a32b1f50fb5'!I40,'2df562aa32e7'!I40,'3a5a3c04bd9d'!I40,'192241189337'!I40,'23a0423d7f40'!I40,'096252bb3796'!I40,a53d1c7f9645!I40,'283d32631463'!I40,'1a542cfbf2c5'!I40,cf262786a0e1!I40,'4b9efdeaeb40'!I40,'66fab14edc4c'!I40,d9a84a7879b5!I40,caf2b28627a3!I40,'602e9d1875d1'!I40,f168037f7f37!I40,eb071de1ab08!I40,'7b3bd85715a4'!I40,e2a9b537c609!I40,f97457958ce9!I40,'281fcc7d7eae'!I40,'01454b1cfeba'!I40,'79287892b1d7'!I40,'1b3f96535b56'!I40),"")</f>
        <v/>
      </c>
      <c r="N11" s="18" t="str">
        <f>IFERROR(AVERAGE('1ae03038ed69'!J40,'1572eb063e5c'!J40,b6ea66d78823!J40,'6d8dcb722ca4'!J40,'9306b30af184'!J40,'3b760aaeab13'!J40,b2f4402deaee!J40,'1c4d314e87cd'!J40,acd4708edfe6!J40,'9a32b1f50fb5'!J40,'2df562aa32e7'!J40,'3a5a3c04bd9d'!J40,'192241189337'!J40,'23a0423d7f40'!J40,'096252bb3796'!J40,a53d1c7f9645!J40,'283d32631463'!J40,'1a542cfbf2c5'!J40,cf262786a0e1!J40,'4b9efdeaeb40'!J40,'66fab14edc4c'!J40,d9a84a7879b5!J40,caf2b28627a3!J40,'602e9d1875d1'!J40,f168037f7f37!J40,eb071de1ab08!J40,'7b3bd85715a4'!J40,e2a9b537c609!J40,f97457958ce9!J40,'281fcc7d7eae'!J40,'01454b1cfeba'!J40,'79287892b1d7'!J40,'1b3f96535b56'!J40),"")</f>
        <v/>
      </c>
      <c r="O11" s="17" t="str">
        <f>IFERROR(AVERAGE('1ae03038ed69'!K40,'1572eb063e5c'!K40,b6ea66d78823!K40,'6d8dcb722ca4'!K40,'9306b30af184'!K40,'3b760aaeab13'!K40,b2f4402deaee!K40,'1c4d314e87cd'!K40,acd4708edfe6!K40,'9a32b1f50fb5'!K40,'2df562aa32e7'!K40,'3a5a3c04bd9d'!K40,'192241189337'!K40,'23a0423d7f40'!K40,'096252bb3796'!K40,a53d1c7f9645!K40,'283d32631463'!K40,'1a542cfbf2c5'!K40,cf262786a0e1!K40,'4b9efdeaeb40'!K40,'66fab14edc4c'!K40,d9a84a7879b5!K40,caf2b28627a3!K40,'602e9d1875d1'!K40,f168037f7f37!K40,eb071de1ab08!K40,'7b3bd85715a4'!K40,e2a9b537c609!K40,f97457958ce9!K40,'281fcc7d7eae'!K40,'01454b1cfeba'!K40,'79287892b1d7'!K40,'1b3f96535b56'!K40),"")</f>
        <v/>
      </c>
      <c r="P11" s="17">
        <f>IFERROR(AVERAGE('1ae03038ed69'!L40,'1572eb063e5c'!L40,b6ea66d78823!L40,'6d8dcb722ca4'!L40,'9306b30af184'!L40,'3b760aaeab13'!L40,b2f4402deaee!L40,'1c4d314e87cd'!L40,acd4708edfe6!L40,'9a32b1f50fb5'!L40,'2df562aa32e7'!L40,'3a5a3c04bd9d'!L40,'192241189337'!L40,'23a0423d7f40'!L40,'096252bb3796'!L40,a53d1c7f9645!L40,'283d32631463'!L40,'1a542cfbf2c5'!L40,cf262786a0e1!L40,'4b9efdeaeb40'!L40,'66fab14edc4c'!L40,d9a84a7879b5!L40,caf2b28627a3!L40,'602e9d1875d1'!L40,f168037f7f37!L40,eb071de1ab08!L40,'7b3bd85715a4'!L40,e2a9b537c609!L40,f97457958ce9!L40,'281fcc7d7eae'!L40,'01454b1cfeba'!L40,'79287892b1d7'!L40,'1b3f96535b56'!L40),"")</f>
        <v>3</v>
      </c>
      <c r="Q11" s="18">
        <f>IFERROR(AVERAGE('1ae03038ed69'!M40,'1572eb063e5c'!M40,b6ea66d78823!M40,'6d8dcb722ca4'!M40,'9306b30af184'!M40,'3b760aaeab13'!M40,b2f4402deaee!M40,'1c4d314e87cd'!M40,acd4708edfe6!M40,'9a32b1f50fb5'!M40,'2df562aa32e7'!M40,'3a5a3c04bd9d'!M40,'192241189337'!M40,'23a0423d7f40'!M40,'096252bb3796'!M40,a53d1c7f9645!M40,'283d32631463'!M40,'1a542cfbf2c5'!M40,cf262786a0e1!M40,'4b9efdeaeb40'!M40,'66fab14edc4c'!M40,d9a84a7879b5!M40,caf2b28627a3!M40,'602e9d1875d1'!M40,f168037f7f37!M40,eb071de1ab08!M40,'7b3bd85715a4'!M40,e2a9b537c609!M40,f97457958ce9!M40,'281fcc7d7eae'!M40,'01454b1cfeba'!M40,'79287892b1d7'!M40,'1b3f96535b56'!M40),"")</f>
        <v>4</v>
      </c>
      <c r="R11" s="18" t="str">
        <f>IFERROR(AVERAGE('1ae03038ed69'!N40,'1572eb063e5c'!N40,b6ea66d78823!N40,'6d8dcb722ca4'!N40,'9306b30af184'!N40,'3b760aaeab13'!N40,b2f4402deaee!N40,'1c4d314e87cd'!N40,acd4708edfe6!N40,'9a32b1f50fb5'!N40,'2df562aa32e7'!N40,'3a5a3c04bd9d'!N40,'192241189337'!N40,'23a0423d7f40'!N40,'096252bb3796'!N40,a53d1c7f9645!N40,'283d32631463'!N40,'1a542cfbf2c5'!N40,cf262786a0e1!N40,'4b9efdeaeb40'!N40,'66fab14edc4c'!N40,d9a84a7879b5!N40,caf2b28627a3!N40,'602e9d1875d1'!N40,f168037f7f37!N40,eb071de1ab08!N40,'7b3bd85715a4'!N40,e2a9b537c609!N40,f97457958ce9!N40,'281fcc7d7eae'!N40,'01454b1cfeba'!N40,'79287892b1d7'!N40,'1b3f96535b56'!N40),"")</f>
        <v/>
      </c>
      <c r="U11" t="s">
        <v>26</v>
      </c>
      <c r="V11" t="s">
        <v>27</v>
      </c>
    </row>
    <row r="12" spans="2:22" ht="15.75" customHeight="1">
      <c r="B12" s="57" t="s">
        <v>28</v>
      </c>
      <c r="C12" s="11" t="s">
        <v>29</v>
      </c>
      <c r="F12" s="16" t="str">
        <f>LEFT(Definitions!B14,25)&amp;"…"</f>
        <v>Innovation, creativity an…</v>
      </c>
      <c r="G12" s="17">
        <f>IFERROR(AVERAGE('1ae03038ed69'!C41,'1572eb063e5c'!C41,b6ea66d78823!C41,'6d8dcb722ca4'!C41,'9306b30af184'!C41,'3b760aaeab13'!C41,b2f4402deaee!C41,'1c4d314e87cd'!C41,acd4708edfe6!C41,'9a32b1f50fb5'!C41,'2df562aa32e7'!C41,'3a5a3c04bd9d'!C41,'192241189337'!C41,'23a0423d7f40'!C41,'096252bb3796'!C41,a53d1c7f9645!C41,'283d32631463'!C41,'1a542cfbf2c5'!C41,cf262786a0e1!C41,'4b9efdeaeb40'!C41,'66fab14edc4c'!C41,d9a84a7879b5!C41,caf2b28627a3!C41,'602e9d1875d1'!C41,f168037f7f37!C41,eb071de1ab08!C41,'7b3bd85715a4'!C41,e2a9b537c609!C41,f97457958ce9!C41,'281fcc7d7eae'!C41,'01454b1cfeba'!C41,'79287892b1d7'!C41,'1b3f96535b56'!C41),"")</f>
        <v>5</v>
      </c>
      <c r="H12" s="17">
        <f>IFERROR(AVERAGE('1ae03038ed69'!D41,'1572eb063e5c'!D41,b6ea66d78823!D41,'6d8dcb722ca4'!D41,'9306b30af184'!D41,'3b760aaeab13'!D41,b2f4402deaee!D41,'1c4d314e87cd'!D41,acd4708edfe6!D41,'9a32b1f50fb5'!D41,'2df562aa32e7'!D41,'3a5a3c04bd9d'!D41,'192241189337'!D41,'23a0423d7f40'!D41,'096252bb3796'!D41,a53d1c7f9645!D41,'283d32631463'!D41,'1a542cfbf2c5'!D41,cf262786a0e1!D41,'4b9efdeaeb40'!D41,'66fab14edc4c'!D41,d9a84a7879b5!D41,caf2b28627a3!D41,'602e9d1875d1'!D41,f168037f7f37!D41,eb071de1ab08!D41,'7b3bd85715a4'!D41,e2a9b537c609!D41,f97457958ce9!D41,'281fcc7d7eae'!D41,'01454b1cfeba'!D41,'79287892b1d7'!D41,'1b3f96535b56'!D41),"")</f>
        <v>3</v>
      </c>
      <c r="I12" s="18">
        <f>IFERROR(AVERAGE('1ae03038ed69'!E41,'1572eb063e5c'!E41,b6ea66d78823!E41,'6d8dcb722ca4'!E41,'9306b30af184'!E41,'3b760aaeab13'!E41,b2f4402deaee!E41,'1c4d314e87cd'!E41,acd4708edfe6!E41,'9a32b1f50fb5'!E41,'2df562aa32e7'!E41,'3a5a3c04bd9d'!E41,'192241189337'!E41,'23a0423d7f40'!E41,'096252bb3796'!E41,a53d1c7f9645!E41,'283d32631463'!E41,'1a542cfbf2c5'!E41,cf262786a0e1!E41,'4b9efdeaeb40'!E41,'66fab14edc4c'!E41,d9a84a7879b5!E41,caf2b28627a3!E41,'602e9d1875d1'!E41,f168037f7f37!E41,eb071de1ab08!E41,'7b3bd85715a4'!E41,e2a9b537c609!E41,f97457958ce9!E41,'281fcc7d7eae'!E41,'01454b1cfeba'!E41,'79287892b1d7'!E41,'1b3f96535b56'!E41),"")</f>
        <v>4.5</v>
      </c>
      <c r="J12" s="18">
        <f>IFERROR(AVERAGE('1ae03038ed69'!F41,'1572eb063e5c'!F41,b6ea66d78823!F41,'6d8dcb722ca4'!F41,'9306b30af184'!F41,'3b760aaeab13'!F41,b2f4402deaee!F41,'1c4d314e87cd'!F41,acd4708edfe6!F41,'9a32b1f50fb5'!F41,'2df562aa32e7'!F41,'3a5a3c04bd9d'!F41,'192241189337'!F41,'23a0423d7f40'!F41,'096252bb3796'!F41,a53d1c7f9645!F41,'283d32631463'!F41,'1a542cfbf2c5'!F41,cf262786a0e1!F41,'4b9efdeaeb40'!F41,'66fab14edc4c'!F41,d9a84a7879b5!F41,caf2b28627a3!F41,'602e9d1875d1'!F41,f168037f7f37!F41,eb071de1ab08!F41,'7b3bd85715a4'!F41,e2a9b537c609!F41,f97457958ce9!F41,'281fcc7d7eae'!F41,'01454b1cfeba'!F41,'79287892b1d7'!F41,'1b3f96535b56'!F41),"")</f>
        <v>3.833333333333333</v>
      </c>
      <c r="K12" s="17">
        <f>IFERROR(AVERAGE('1ae03038ed69'!G41,'1572eb063e5c'!G41,b6ea66d78823!G41,'6d8dcb722ca4'!G41,'9306b30af184'!G41,'3b760aaeab13'!G41,b2f4402deaee!G41,'1c4d314e87cd'!G41,acd4708edfe6!G41,'9a32b1f50fb5'!G41,'2df562aa32e7'!G41,'3a5a3c04bd9d'!G41,'192241189337'!G41,'23a0423d7f40'!G41,'096252bb3796'!G41,a53d1c7f9645!G41,'283d32631463'!G41,'1a542cfbf2c5'!G41,cf262786a0e1!G41,'4b9efdeaeb40'!G41,'66fab14edc4c'!G41,d9a84a7879b5!G41,caf2b28627a3!G41,'602e9d1875d1'!G41,f168037f7f37!G41,eb071de1ab08!G41,'7b3bd85715a4'!G41,e2a9b537c609!G41,f97457958ce9!G41,'281fcc7d7eae'!G41,'01454b1cfeba'!G41,'79287892b1d7'!G41,'1b3f96535b56'!G41),"")</f>
        <v>3.875</v>
      </c>
      <c r="L12" s="17">
        <f>IFERROR(AVERAGE('1ae03038ed69'!H41,'1572eb063e5c'!H41,b6ea66d78823!H41,'6d8dcb722ca4'!H41,'9306b30af184'!H41,'3b760aaeab13'!H41,b2f4402deaee!H41,'1c4d314e87cd'!H41,acd4708edfe6!H41,'9a32b1f50fb5'!H41,'2df562aa32e7'!H41,'3a5a3c04bd9d'!H41,'192241189337'!H41,'23a0423d7f40'!H41,'096252bb3796'!H41,a53d1c7f9645!H41,'283d32631463'!H41,'1a542cfbf2c5'!H41,cf262786a0e1!H41,'4b9efdeaeb40'!H41,'66fab14edc4c'!H41,d9a84a7879b5!H41,caf2b28627a3!H41,'602e9d1875d1'!H41,f168037f7f37!H41,eb071de1ab08!H41,'7b3bd85715a4'!H41,e2a9b537c609!H41,f97457958ce9!H41,'281fcc7d7eae'!H41,'01454b1cfeba'!H41,'79287892b1d7'!H41,'1b3f96535b56'!H41),"")</f>
        <v>3.25</v>
      </c>
      <c r="M12" s="18">
        <f>IFERROR(AVERAGE('1ae03038ed69'!I41,'1572eb063e5c'!I41,b6ea66d78823!I41,'6d8dcb722ca4'!I41,'9306b30af184'!I41,'3b760aaeab13'!I41,b2f4402deaee!I41,'1c4d314e87cd'!I41,acd4708edfe6!I41,'9a32b1f50fb5'!I41,'2df562aa32e7'!I41,'3a5a3c04bd9d'!I41,'192241189337'!I41,'23a0423d7f40'!I41,'096252bb3796'!I41,a53d1c7f9645!I41,'283d32631463'!I41,'1a542cfbf2c5'!I41,cf262786a0e1!I41,'4b9efdeaeb40'!I41,'66fab14edc4c'!I41,d9a84a7879b5!I41,caf2b28627a3!I41,'602e9d1875d1'!I41,f168037f7f37!I41,eb071de1ab08!I41,'7b3bd85715a4'!I41,e2a9b537c609!I41,f97457958ce9!I41,'281fcc7d7eae'!I41,'01454b1cfeba'!I41,'79287892b1d7'!I41,'1b3f96535b56'!I41),"")</f>
        <v>4</v>
      </c>
      <c r="N12" s="18">
        <f>IFERROR(AVERAGE('1ae03038ed69'!J41,'1572eb063e5c'!J41,b6ea66d78823!J41,'6d8dcb722ca4'!J41,'9306b30af184'!J41,'3b760aaeab13'!J41,b2f4402deaee!J41,'1c4d314e87cd'!J41,acd4708edfe6!J41,'9a32b1f50fb5'!J41,'2df562aa32e7'!J41,'3a5a3c04bd9d'!J41,'192241189337'!J41,'23a0423d7f40'!J41,'096252bb3796'!J41,a53d1c7f9645!J41,'283d32631463'!J41,'1a542cfbf2c5'!J41,cf262786a0e1!J41,'4b9efdeaeb40'!J41,'66fab14edc4c'!J41,d9a84a7879b5!J41,caf2b28627a3!J41,'602e9d1875d1'!J41,f168037f7f37!J41,eb071de1ab08!J41,'7b3bd85715a4'!J41,e2a9b537c609!J41,f97457958ce9!J41,'281fcc7d7eae'!J41,'01454b1cfeba'!J41,'79287892b1d7'!J41,'1b3f96535b56'!J41),"")</f>
        <v>4</v>
      </c>
      <c r="O12" s="17" t="str">
        <f>IFERROR(AVERAGE('1ae03038ed69'!K41,'1572eb063e5c'!K41,b6ea66d78823!K41,'6d8dcb722ca4'!K41,'9306b30af184'!K41,'3b760aaeab13'!K41,b2f4402deaee!K41,'1c4d314e87cd'!K41,acd4708edfe6!K41,'9a32b1f50fb5'!K41,'2df562aa32e7'!K41,'3a5a3c04bd9d'!K41,'192241189337'!K41,'23a0423d7f40'!K41,'096252bb3796'!K41,a53d1c7f9645!K41,'283d32631463'!K41,'1a542cfbf2c5'!K41,cf262786a0e1!K41,'4b9efdeaeb40'!K41,'66fab14edc4c'!K41,d9a84a7879b5!K41,caf2b28627a3!K41,'602e9d1875d1'!K41,f168037f7f37!K41,eb071de1ab08!K41,'7b3bd85715a4'!K41,e2a9b537c609!K41,f97457958ce9!K41,'281fcc7d7eae'!K41,'01454b1cfeba'!K41,'79287892b1d7'!K41,'1b3f96535b56'!K41),"")</f>
        <v/>
      </c>
      <c r="P12" s="17" t="str">
        <f>IFERROR(AVERAGE('1ae03038ed69'!L41,'1572eb063e5c'!L41,b6ea66d78823!L41,'6d8dcb722ca4'!L41,'9306b30af184'!L41,'3b760aaeab13'!L41,b2f4402deaee!L41,'1c4d314e87cd'!L41,acd4708edfe6!L41,'9a32b1f50fb5'!L41,'2df562aa32e7'!L41,'3a5a3c04bd9d'!L41,'192241189337'!L41,'23a0423d7f40'!L41,'096252bb3796'!L41,a53d1c7f9645!L41,'283d32631463'!L41,'1a542cfbf2c5'!L41,cf262786a0e1!L41,'4b9efdeaeb40'!L41,'66fab14edc4c'!L41,d9a84a7879b5!L41,caf2b28627a3!L41,'602e9d1875d1'!L41,f168037f7f37!L41,eb071de1ab08!L41,'7b3bd85715a4'!L41,e2a9b537c609!L41,f97457958ce9!L41,'281fcc7d7eae'!L41,'01454b1cfeba'!L41,'79287892b1d7'!L41,'1b3f96535b56'!L41),"")</f>
        <v/>
      </c>
      <c r="Q12" s="18">
        <f>IFERROR(AVERAGE('1ae03038ed69'!M41,'1572eb063e5c'!M41,b6ea66d78823!M41,'6d8dcb722ca4'!M41,'9306b30af184'!M41,'3b760aaeab13'!M41,b2f4402deaee!M41,'1c4d314e87cd'!M41,acd4708edfe6!M41,'9a32b1f50fb5'!M41,'2df562aa32e7'!M41,'3a5a3c04bd9d'!M41,'192241189337'!M41,'23a0423d7f40'!M41,'096252bb3796'!M41,a53d1c7f9645!M41,'283d32631463'!M41,'1a542cfbf2c5'!M41,cf262786a0e1!M41,'4b9efdeaeb40'!M41,'66fab14edc4c'!M41,d9a84a7879b5!M41,caf2b28627a3!M41,'602e9d1875d1'!M41,f168037f7f37!M41,eb071de1ab08!M41,'7b3bd85715a4'!M41,e2a9b537c609!M41,f97457958ce9!M41,'281fcc7d7eae'!M41,'01454b1cfeba'!M41,'79287892b1d7'!M41,'1b3f96535b56'!M41),"")</f>
        <v>4</v>
      </c>
      <c r="R12" s="18" t="str">
        <f>IFERROR(AVERAGE('1ae03038ed69'!N41,'1572eb063e5c'!N41,b6ea66d78823!N41,'6d8dcb722ca4'!N41,'9306b30af184'!N41,'3b760aaeab13'!N41,b2f4402deaee!N41,'1c4d314e87cd'!N41,acd4708edfe6!N41,'9a32b1f50fb5'!N41,'2df562aa32e7'!N41,'3a5a3c04bd9d'!N41,'192241189337'!N41,'23a0423d7f40'!N41,'096252bb3796'!N41,a53d1c7f9645!N41,'283d32631463'!N41,'1a542cfbf2c5'!N41,cf262786a0e1!N41,'4b9efdeaeb40'!N41,'66fab14edc4c'!N41,d9a84a7879b5!N41,caf2b28627a3!N41,'602e9d1875d1'!N41,f168037f7f37!N41,eb071de1ab08!N41,'7b3bd85715a4'!N41,e2a9b537c609!N41,f97457958ce9!N41,'281fcc7d7eae'!N41,'01454b1cfeba'!N41,'79287892b1d7'!N41,'1b3f96535b56'!N41),"")</f>
        <v/>
      </c>
      <c r="U12" t="s">
        <v>30</v>
      </c>
      <c r="V12" t="s">
        <v>31</v>
      </c>
    </row>
    <row r="13" spans="2:22" ht="15.75" customHeight="1">
      <c r="B13" s="86"/>
      <c r="C13" s="11"/>
      <c r="F13" s="16" t="str">
        <f>LEFT(Definitions!B15,25)&amp;"…"</f>
        <v>Health and care in the co…</v>
      </c>
      <c r="G13" s="17">
        <f>IFERROR(AVERAGE('1ae03038ed69'!C42,'1572eb063e5c'!C42,b6ea66d78823!C42,'6d8dcb722ca4'!C42,'9306b30af184'!C42,'3b760aaeab13'!C42,b2f4402deaee!C42,'1c4d314e87cd'!C42,acd4708edfe6!C42,'9a32b1f50fb5'!C42,'2df562aa32e7'!C42,'3a5a3c04bd9d'!C42,'192241189337'!C42,'23a0423d7f40'!C42,'096252bb3796'!C42,a53d1c7f9645!C42,'283d32631463'!C42,'1a542cfbf2c5'!C42,cf262786a0e1!C42,'4b9efdeaeb40'!C42,'66fab14edc4c'!C42,d9a84a7879b5!C42,caf2b28627a3!C42,'602e9d1875d1'!C42,f168037f7f37!C42,eb071de1ab08!C42,'7b3bd85715a4'!C42,e2a9b537c609!C42,f97457958ce9!C42,'281fcc7d7eae'!C42,'01454b1cfeba'!C42,'79287892b1d7'!C42,'1b3f96535b56'!C42),"")</f>
        <v>3</v>
      </c>
      <c r="H13" s="17">
        <f>IFERROR(AVERAGE('1ae03038ed69'!D42,'1572eb063e5c'!D42,b6ea66d78823!D42,'6d8dcb722ca4'!D42,'9306b30af184'!D42,'3b760aaeab13'!D42,b2f4402deaee!D42,'1c4d314e87cd'!D42,acd4708edfe6!D42,'9a32b1f50fb5'!D42,'2df562aa32e7'!D42,'3a5a3c04bd9d'!D42,'192241189337'!D42,'23a0423d7f40'!D42,'096252bb3796'!D42,a53d1c7f9645!D42,'283d32631463'!D42,'1a542cfbf2c5'!D42,cf262786a0e1!D42,'4b9efdeaeb40'!D42,'66fab14edc4c'!D42,d9a84a7879b5!D42,caf2b28627a3!D42,'602e9d1875d1'!D42,f168037f7f37!D42,eb071de1ab08!D42,'7b3bd85715a4'!D42,e2a9b537c609!D42,f97457958ce9!D42,'281fcc7d7eae'!D42,'01454b1cfeba'!D42,'79287892b1d7'!D42,'1b3f96535b56'!D42),"")</f>
        <v>2.5</v>
      </c>
      <c r="I13" s="18" t="str">
        <f>IFERROR(AVERAGE('1ae03038ed69'!E42,'1572eb063e5c'!E42,b6ea66d78823!E42,'6d8dcb722ca4'!E42,'9306b30af184'!E42,'3b760aaeab13'!E42,b2f4402deaee!E42,'1c4d314e87cd'!E42,acd4708edfe6!E42,'9a32b1f50fb5'!E42,'2df562aa32e7'!E42,'3a5a3c04bd9d'!E42,'192241189337'!E42,'23a0423d7f40'!E42,'096252bb3796'!E42,a53d1c7f9645!E42,'283d32631463'!E42,'1a542cfbf2c5'!E42,cf262786a0e1!E42,'4b9efdeaeb40'!E42,'66fab14edc4c'!E42,d9a84a7879b5!E42,caf2b28627a3!E42,'602e9d1875d1'!E42,f168037f7f37!E42,eb071de1ab08!E42,'7b3bd85715a4'!E42,e2a9b537c609!E42,f97457958ce9!E42,'281fcc7d7eae'!E42,'01454b1cfeba'!E42,'79287892b1d7'!E42,'1b3f96535b56'!E42),"")</f>
        <v/>
      </c>
      <c r="J13" s="18" t="str">
        <f>IFERROR(AVERAGE('1ae03038ed69'!F42,'1572eb063e5c'!F42,b6ea66d78823!F42,'6d8dcb722ca4'!F42,'9306b30af184'!F42,'3b760aaeab13'!F42,b2f4402deaee!F42,'1c4d314e87cd'!F42,acd4708edfe6!F42,'9a32b1f50fb5'!F42,'2df562aa32e7'!F42,'3a5a3c04bd9d'!F42,'192241189337'!F42,'23a0423d7f40'!F42,'096252bb3796'!F42,a53d1c7f9645!F42,'283d32631463'!F42,'1a542cfbf2c5'!F42,cf262786a0e1!F42,'4b9efdeaeb40'!F42,'66fab14edc4c'!F42,d9a84a7879b5!F42,caf2b28627a3!F42,'602e9d1875d1'!F42,f168037f7f37!F42,eb071de1ab08!F42,'7b3bd85715a4'!F42,e2a9b537c609!F42,f97457958ce9!F42,'281fcc7d7eae'!F42,'01454b1cfeba'!F42,'79287892b1d7'!F42,'1b3f96535b56'!F42),"")</f>
        <v/>
      </c>
      <c r="K13" s="17" t="str">
        <f>IFERROR(AVERAGE('1ae03038ed69'!G42,'1572eb063e5c'!G42,b6ea66d78823!G42,'6d8dcb722ca4'!G42,'9306b30af184'!G42,'3b760aaeab13'!G42,b2f4402deaee!G42,'1c4d314e87cd'!G42,acd4708edfe6!G42,'9a32b1f50fb5'!G42,'2df562aa32e7'!G42,'3a5a3c04bd9d'!G42,'192241189337'!G42,'23a0423d7f40'!G42,'096252bb3796'!G42,a53d1c7f9645!G42,'283d32631463'!G42,'1a542cfbf2c5'!G42,cf262786a0e1!G42,'4b9efdeaeb40'!G42,'66fab14edc4c'!G42,d9a84a7879b5!G42,caf2b28627a3!G42,'602e9d1875d1'!G42,f168037f7f37!G42,eb071de1ab08!G42,'7b3bd85715a4'!G42,e2a9b537c609!G42,f97457958ce9!G42,'281fcc7d7eae'!G42,'01454b1cfeba'!G42,'79287892b1d7'!G42,'1b3f96535b56'!G42),"")</f>
        <v/>
      </c>
      <c r="L13" s="17" t="str">
        <f>IFERROR(AVERAGE('1ae03038ed69'!H42,'1572eb063e5c'!H42,b6ea66d78823!H42,'6d8dcb722ca4'!H42,'9306b30af184'!H42,'3b760aaeab13'!H42,b2f4402deaee!H42,'1c4d314e87cd'!H42,acd4708edfe6!H42,'9a32b1f50fb5'!H42,'2df562aa32e7'!H42,'3a5a3c04bd9d'!H42,'192241189337'!H42,'23a0423d7f40'!H42,'096252bb3796'!H42,a53d1c7f9645!H42,'283d32631463'!H42,'1a542cfbf2c5'!H42,cf262786a0e1!H42,'4b9efdeaeb40'!H42,'66fab14edc4c'!H42,d9a84a7879b5!H42,caf2b28627a3!H42,'602e9d1875d1'!H42,f168037f7f37!H42,eb071de1ab08!H42,'7b3bd85715a4'!H42,e2a9b537c609!H42,f97457958ce9!H42,'281fcc7d7eae'!H42,'01454b1cfeba'!H42,'79287892b1d7'!H42,'1b3f96535b56'!H42),"")</f>
        <v/>
      </c>
      <c r="M13" s="18" t="str">
        <f>IFERROR(AVERAGE('1ae03038ed69'!I42,'1572eb063e5c'!I42,b6ea66d78823!I42,'6d8dcb722ca4'!I42,'9306b30af184'!I42,'3b760aaeab13'!I42,b2f4402deaee!I42,'1c4d314e87cd'!I42,acd4708edfe6!I42,'9a32b1f50fb5'!I42,'2df562aa32e7'!I42,'3a5a3c04bd9d'!I42,'192241189337'!I42,'23a0423d7f40'!I42,'096252bb3796'!I42,a53d1c7f9645!I42,'283d32631463'!I42,'1a542cfbf2c5'!I42,cf262786a0e1!I42,'4b9efdeaeb40'!I42,'66fab14edc4c'!I42,d9a84a7879b5!I42,caf2b28627a3!I42,'602e9d1875d1'!I42,f168037f7f37!I42,eb071de1ab08!I42,'7b3bd85715a4'!I42,e2a9b537c609!I42,f97457958ce9!I42,'281fcc7d7eae'!I42,'01454b1cfeba'!I42,'79287892b1d7'!I42,'1b3f96535b56'!I42),"")</f>
        <v/>
      </c>
      <c r="N13" s="18" t="str">
        <f>IFERROR(AVERAGE('1ae03038ed69'!J42,'1572eb063e5c'!J42,b6ea66d78823!J42,'6d8dcb722ca4'!J42,'9306b30af184'!J42,'3b760aaeab13'!J42,b2f4402deaee!J42,'1c4d314e87cd'!J42,acd4708edfe6!J42,'9a32b1f50fb5'!J42,'2df562aa32e7'!J42,'3a5a3c04bd9d'!J42,'192241189337'!J42,'23a0423d7f40'!J42,'096252bb3796'!J42,a53d1c7f9645!J42,'283d32631463'!J42,'1a542cfbf2c5'!J42,cf262786a0e1!J42,'4b9efdeaeb40'!J42,'66fab14edc4c'!J42,d9a84a7879b5!J42,caf2b28627a3!J42,'602e9d1875d1'!J42,f168037f7f37!J42,eb071de1ab08!J42,'7b3bd85715a4'!J42,e2a9b537c609!J42,f97457958ce9!J42,'281fcc7d7eae'!J42,'01454b1cfeba'!J42,'79287892b1d7'!J42,'1b3f96535b56'!J42),"")</f>
        <v/>
      </c>
      <c r="O13" s="17">
        <f>IFERROR(AVERAGE('1ae03038ed69'!K42,'1572eb063e5c'!K42,b6ea66d78823!K42,'6d8dcb722ca4'!K42,'9306b30af184'!K42,'3b760aaeab13'!K42,b2f4402deaee!K42,'1c4d314e87cd'!K42,acd4708edfe6!K42,'9a32b1f50fb5'!K42,'2df562aa32e7'!K42,'3a5a3c04bd9d'!K42,'192241189337'!K42,'23a0423d7f40'!K42,'096252bb3796'!K42,a53d1c7f9645!K42,'283d32631463'!K42,'1a542cfbf2c5'!K42,cf262786a0e1!K42,'4b9efdeaeb40'!K42,'66fab14edc4c'!K42,d9a84a7879b5!K42,caf2b28627a3!K42,'602e9d1875d1'!K42,f168037f7f37!K42,eb071de1ab08!K42,'7b3bd85715a4'!K42,e2a9b537c609!K42,f97457958ce9!K42,'281fcc7d7eae'!K42,'01454b1cfeba'!K42,'79287892b1d7'!K42,'1b3f96535b56'!K42),"")</f>
        <v>1.5</v>
      </c>
      <c r="P13" s="17">
        <f>IFERROR(AVERAGE('1ae03038ed69'!L42,'1572eb063e5c'!L42,b6ea66d78823!L42,'6d8dcb722ca4'!L42,'9306b30af184'!L42,'3b760aaeab13'!L42,b2f4402deaee!L42,'1c4d314e87cd'!L42,acd4708edfe6!L42,'9a32b1f50fb5'!L42,'2df562aa32e7'!L42,'3a5a3c04bd9d'!L42,'192241189337'!L42,'23a0423d7f40'!L42,'096252bb3796'!L42,a53d1c7f9645!L42,'283d32631463'!L42,'1a542cfbf2c5'!L42,cf262786a0e1!L42,'4b9efdeaeb40'!L42,'66fab14edc4c'!L42,d9a84a7879b5!L42,caf2b28627a3!L42,'602e9d1875d1'!L42,f168037f7f37!L42,eb071de1ab08!L42,'7b3bd85715a4'!L42,e2a9b537c609!L42,f97457958ce9!L42,'281fcc7d7eae'!L42,'01454b1cfeba'!L42,'79287892b1d7'!L42,'1b3f96535b56'!L42),"")</f>
        <v>2</v>
      </c>
      <c r="Q13" s="18">
        <f>IFERROR(AVERAGE('1ae03038ed69'!M42,'1572eb063e5c'!M42,b6ea66d78823!M42,'6d8dcb722ca4'!M42,'9306b30af184'!M42,'3b760aaeab13'!M42,b2f4402deaee!M42,'1c4d314e87cd'!M42,acd4708edfe6!M42,'9a32b1f50fb5'!M42,'2df562aa32e7'!M42,'3a5a3c04bd9d'!M42,'192241189337'!M42,'23a0423d7f40'!M42,'096252bb3796'!M42,a53d1c7f9645!M42,'283d32631463'!M42,'1a542cfbf2c5'!M42,cf262786a0e1!M42,'4b9efdeaeb40'!M42,'66fab14edc4c'!M42,d9a84a7879b5!M42,caf2b28627a3!M42,'602e9d1875d1'!M42,f168037f7f37!M42,eb071de1ab08!M42,'7b3bd85715a4'!M42,e2a9b537c609!M42,f97457958ce9!M42,'281fcc7d7eae'!M42,'01454b1cfeba'!M42,'79287892b1d7'!M42,'1b3f96535b56'!M42),"")</f>
        <v>4.666666666666667</v>
      </c>
      <c r="R13" s="18">
        <f>IFERROR(AVERAGE('1ae03038ed69'!N42,'1572eb063e5c'!N42,b6ea66d78823!N42,'6d8dcb722ca4'!N42,'9306b30af184'!N42,'3b760aaeab13'!N42,b2f4402deaee!N42,'1c4d314e87cd'!N42,acd4708edfe6!N42,'9a32b1f50fb5'!N42,'2df562aa32e7'!N42,'3a5a3c04bd9d'!N42,'192241189337'!N42,'23a0423d7f40'!N42,'096252bb3796'!N42,a53d1c7f9645!N42,'283d32631463'!N42,'1a542cfbf2c5'!N42,cf262786a0e1!N42,'4b9efdeaeb40'!N42,'66fab14edc4c'!N42,d9a84a7879b5!N42,caf2b28627a3!N42,'602e9d1875d1'!N42,f168037f7f37!N42,eb071de1ab08!N42,'7b3bd85715a4'!N42,e2a9b537c609!N42,f97457958ce9!N42,'281fcc7d7eae'!N42,'01454b1cfeba'!N42,'79287892b1d7'!N42,'1b3f96535b56'!N42),"")</f>
        <v>3.5</v>
      </c>
      <c r="U13" t="s">
        <v>32</v>
      </c>
      <c r="V13" t="s">
        <v>33</v>
      </c>
    </row>
    <row r="14" spans="2:22" ht="15.75" customHeight="1">
      <c r="B14" s="87"/>
      <c r="C14" s="11"/>
      <c r="F14" s="16" t="str">
        <f>LEFT(Definitions!B16,25)&amp;"…"</f>
        <v>Culture and community ide…</v>
      </c>
      <c r="G14" s="17">
        <f>IFERROR(AVERAGE('1ae03038ed69'!C43,'1572eb063e5c'!C43,b6ea66d78823!C43,'6d8dcb722ca4'!C43,'9306b30af184'!C43,'3b760aaeab13'!C43,b2f4402deaee!C43,'1c4d314e87cd'!C43,acd4708edfe6!C43,'9a32b1f50fb5'!C43,'2df562aa32e7'!C43,'3a5a3c04bd9d'!C43,'192241189337'!C43,'23a0423d7f40'!C43,'096252bb3796'!C43,a53d1c7f9645!C43,'283d32631463'!C43,'1a542cfbf2c5'!C43,cf262786a0e1!C43,'4b9efdeaeb40'!C43,'66fab14edc4c'!C43,d9a84a7879b5!C43,caf2b28627a3!C43,'602e9d1875d1'!C43,f168037f7f37!C43,eb071de1ab08!C43,'7b3bd85715a4'!C43,e2a9b537c609!C43,f97457958ce9!C43,'281fcc7d7eae'!C43,'01454b1cfeba'!C43,'79287892b1d7'!C43,'1b3f96535b56'!C43),"")</f>
        <v>2</v>
      </c>
      <c r="H14" s="17">
        <f>IFERROR(AVERAGE('1ae03038ed69'!D43,'1572eb063e5c'!D43,b6ea66d78823!D43,'6d8dcb722ca4'!D43,'9306b30af184'!D43,'3b760aaeab13'!D43,b2f4402deaee!D43,'1c4d314e87cd'!D43,acd4708edfe6!D43,'9a32b1f50fb5'!D43,'2df562aa32e7'!D43,'3a5a3c04bd9d'!D43,'192241189337'!D43,'23a0423d7f40'!D43,'096252bb3796'!D43,a53d1c7f9645!D43,'283d32631463'!D43,'1a542cfbf2c5'!D43,cf262786a0e1!D43,'4b9efdeaeb40'!D43,'66fab14edc4c'!D43,d9a84a7879b5!D43,caf2b28627a3!D43,'602e9d1875d1'!D43,f168037f7f37!D43,eb071de1ab08!D43,'7b3bd85715a4'!D43,e2a9b537c609!D43,f97457958ce9!D43,'281fcc7d7eae'!D43,'01454b1cfeba'!D43,'79287892b1d7'!D43,'1b3f96535b56'!D43),"")</f>
        <v>2</v>
      </c>
      <c r="I14" s="18">
        <f>IFERROR(AVERAGE('1ae03038ed69'!E43,'1572eb063e5c'!E43,b6ea66d78823!E43,'6d8dcb722ca4'!E43,'9306b30af184'!E43,'3b760aaeab13'!E43,b2f4402deaee!E43,'1c4d314e87cd'!E43,acd4708edfe6!E43,'9a32b1f50fb5'!E43,'2df562aa32e7'!E43,'3a5a3c04bd9d'!E43,'192241189337'!E43,'23a0423d7f40'!E43,'096252bb3796'!E43,a53d1c7f9645!E43,'283d32631463'!E43,'1a542cfbf2c5'!E43,cf262786a0e1!E43,'4b9efdeaeb40'!E43,'66fab14edc4c'!E43,d9a84a7879b5!E43,caf2b28627a3!E43,'602e9d1875d1'!E43,f168037f7f37!E43,eb071de1ab08!E43,'7b3bd85715a4'!E43,e2a9b537c609!E43,f97457958ce9!E43,'281fcc7d7eae'!E43,'01454b1cfeba'!E43,'79287892b1d7'!E43,'1b3f96535b56'!E43),"")</f>
        <v>5</v>
      </c>
      <c r="J14" s="18">
        <f>IFERROR(AVERAGE('1ae03038ed69'!F43,'1572eb063e5c'!F43,b6ea66d78823!F43,'6d8dcb722ca4'!F43,'9306b30af184'!F43,'3b760aaeab13'!F43,b2f4402deaee!F43,'1c4d314e87cd'!F43,acd4708edfe6!F43,'9a32b1f50fb5'!F43,'2df562aa32e7'!F43,'3a5a3c04bd9d'!F43,'192241189337'!F43,'23a0423d7f40'!F43,'096252bb3796'!F43,a53d1c7f9645!F43,'283d32631463'!F43,'1a542cfbf2c5'!F43,cf262786a0e1!F43,'4b9efdeaeb40'!F43,'66fab14edc4c'!F43,d9a84a7879b5!F43,caf2b28627a3!F43,'602e9d1875d1'!F43,f168037f7f37!F43,eb071de1ab08!F43,'7b3bd85715a4'!F43,e2a9b537c609!F43,f97457958ce9!F43,'281fcc7d7eae'!F43,'01454b1cfeba'!F43,'79287892b1d7'!F43,'1b3f96535b56'!F43),"")</f>
        <v>5</v>
      </c>
      <c r="K14" s="17" t="str">
        <f>IFERROR(AVERAGE('1ae03038ed69'!G43,'1572eb063e5c'!G43,b6ea66d78823!G43,'6d8dcb722ca4'!G43,'9306b30af184'!G43,'3b760aaeab13'!G43,b2f4402deaee!G43,'1c4d314e87cd'!G43,acd4708edfe6!G43,'9a32b1f50fb5'!G43,'2df562aa32e7'!G43,'3a5a3c04bd9d'!G43,'192241189337'!G43,'23a0423d7f40'!G43,'096252bb3796'!G43,a53d1c7f9645!G43,'283d32631463'!G43,'1a542cfbf2c5'!G43,cf262786a0e1!G43,'4b9efdeaeb40'!G43,'66fab14edc4c'!G43,d9a84a7879b5!G43,caf2b28627a3!G43,'602e9d1875d1'!G43,f168037f7f37!G43,eb071de1ab08!G43,'7b3bd85715a4'!G43,e2a9b537c609!G43,f97457958ce9!G43,'281fcc7d7eae'!G43,'01454b1cfeba'!G43,'79287892b1d7'!G43,'1b3f96535b56'!G43),"")</f>
        <v/>
      </c>
      <c r="L14" s="17" t="str">
        <f>IFERROR(AVERAGE('1ae03038ed69'!H43,'1572eb063e5c'!H43,b6ea66d78823!H43,'6d8dcb722ca4'!H43,'9306b30af184'!H43,'3b760aaeab13'!H43,b2f4402deaee!H43,'1c4d314e87cd'!H43,acd4708edfe6!H43,'9a32b1f50fb5'!H43,'2df562aa32e7'!H43,'3a5a3c04bd9d'!H43,'192241189337'!H43,'23a0423d7f40'!H43,'096252bb3796'!H43,a53d1c7f9645!H43,'283d32631463'!H43,'1a542cfbf2c5'!H43,cf262786a0e1!H43,'4b9efdeaeb40'!H43,'66fab14edc4c'!H43,d9a84a7879b5!H43,caf2b28627a3!H43,'602e9d1875d1'!H43,f168037f7f37!H43,eb071de1ab08!H43,'7b3bd85715a4'!H43,e2a9b537c609!H43,f97457958ce9!H43,'281fcc7d7eae'!H43,'01454b1cfeba'!H43,'79287892b1d7'!H43,'1b3f96535b56'!H43),"")</f>
        <v/>
      </c>
      <c r="M14" s="18" t="str">
        <f>IFERROR(AVERAGE('1ae03038ed69'!I43,'1572eb063e5c'!I43,b6ea66d78823!I43,'6d8dcb722ca4'!I43,'9306b30af184'!I43,'3b760aaeab13'!I43,b2f4402deaee!I43,'1c4d314e87cd'!I43,acd4708edfe6!I43,'9a32b1f50fb5'!I43,'2df562aa32e7'!I43,'3a5a3c04bd9d'!I43,'192241189337'!I43,'23a0423d7f40'!I43,'096252bb3796'!I43,a53d1c7f9645!I43,'283d32631463'!I43,'1a542cfbf2c5'!I43,cf262786a0e1!I43,'4b9efdeaeb40'!I43,'66fab14edc4c'!I43,d9a84a7879b5!I43,caf2b28627a3!I43,'602e9d1875d1'!I43,f168037f7f37!I43,eb071de1ab08!I43,'7b3bd85715a4'!I43,e2a9b537c609!I43,f97457958ce9!I43,'281fcc7d7eae'!I43,'01454b1cfeba'!I43,'79287892b1d7'!I43,'1b3f96535b56'!I43),"")</f>
        <v/>
      </c>
      <c r="N14" s="18" t="str">
        <f>IFERROR(AVERAGE('1ae03038ed69'!J43,'1572eb063e5c'!J43,b6ea66d78823!J43,'6d8dcb722ca4'!J43,'9306b30af184'!J43,'3b760aaeab13'!J43,b2f4402deaee!J43,'1c4d314e87cd'!J43,acd4708edfe6!J43,'9a32b1f50fb5'!J43,'2df562aa32e7'!J43,'3a5a3c04bd9d'!J43,'192241189337'!J43,'23a0423d7f40'!J43,'096252bb3796'!J43,a53d1c7f9645!J43,'283d32631463'!J43,'1a542cfbf2c5'!J43,cf262786a0e1!J43,'4b9efdeaeb40'!J43,'66fab14edc4c'!J43,d9a84a7879b5!J43,caf2b28627a3!J43,'602e9d1875d1'!J43,f168037f7f37!J43,eb071de1ab08!J43,'7b3bd85715a4'!J43,e2a9b537c609!J43,f97457958ce9!J43,'281fcc7d7eae'!J43,'01454b1cfeba'!J43,'79287892b1d7'!J43,'1b3f96535b56'!J43),"")</f>
        <v/>
      </c>
      <c r="O14" s="17">
        <f>IFERROR(AVERAGE('1ae03038ed69'!K43,'1572eb063e5c'!K43,b6ea66d78823!K43,'6d8dcb722ca4'!K43,'9306b30af184'!K43,'3b760aaeab13'!K43,b2f4402deaee!K43,'1c4d314e87cd'!K43,acd4708edfe6!K43,'9a32b1f50fb5'!K43,'2df562aa32e7'!K43,'3a5a3c04bd9d'!K43,'192241189337'!K43,'23a0423d7f40'!K43,'096252bb3796'!K43,a53d1c7f9645!K43,'283d32631463'!K43,'1a542cfbf2c5'!K43,cf262786a0e1!K43,'4b9efdeaeb40'!K43,'66fab14edc4c'!K43,d9a84a7879b5!K43,caf2b28627a3!K43,'602e9d1875d1'!K43,f168037f7f37!K43,eb071de1ab08!K43,'7b3bd85715a4'!K43,e2a9b537c609!K43,f97457958ce9!K43,'281fcc7d7eae'!K43,'01454b1cfeba'!K43,'79287892b1d7'!K43,'1b3f96535b56'!K43),"")</f>
        <v>3.75</v>
      </c>
      <c r="P14" s="17" t="str">
        <f>IFERROR(AVERAGE('1ae03038ed69'!L43,'1572eb063e5c'!L43,b6ea66d78823!L43,'6d8dcb722ca4'!L43,'9306b30af184'!L43,'3b760aaeab13'!L43,b2f4402deaee!L43,'1c4d314e87cd'!L43,acd4708edfe6!L43,'9a32b1f50fb5'!L43,'2df562aa32e7'!L43,'3a5a3c04bd9d'!L43,'192241189337'!L43,'23a0423d7f40'!L43,'096252bb3796'!L43,a53d1c7f9645!L43,'283d32631463'!L43,'1a542cfbf2c5'!L43,cf262786a0e1!L43,'4b9efdeaeb40'!L43,'66fab14edc4c'!L43,d9a84a7879b5!L43,caf2b28627a3!L43,'602e9d1875d1'!L43,f168037f7f37!L43,eb071de1ab08!L43,'7b3bd85715a4'!L43,e2a9b537c609!L43,f97457958ce9!L43,'281fcc7d7eae'!L43,'01454b1cfeba'!L43,'79287892b1d7'!L43,'1b3f96535b56'!L43),"")</f>
        <v/>
      </c>
      <c r="Q14" s="18" t="str">
        <f>IFERROR(AVERAGE('1ae03038ed69'!M43,'1572eb063e5c'!M43,b6ea66d78823!M43,'6d8dcb722ca4'!M43,'9306b30af184'!M43,'3b760aaeab13'!M43,b2f4402deaee!M43,'1c4d314e87cd'!M43,acd4708edfe6!M43,'9a32b1f50fb5'!M43,'2df562aa32e7'!M43,'3a5a3c04bd9d'!M43,'192241189337'!M43,'23a0423d7f40'!M43,'096252bb3796'!M43,a53d1c7f9645!M43,'283d32631463'!M43,'1a542cfbf2c5'!M43,cf262786a0e1!M43,'4b9efdeaeb40'!M43,'66fab14edc4c'!M43,d9a84a7879b5!M43,caf2b28627a3!M43,'602e9d1875d1'!M43,f168037f7f37!M43,eb071de1ab08!M43,'7b3bd85715a4'!M43,e2a9b537c609!M43,f97457958ce9!M43,'281fcc7d7eae'!M43,'01454b1cfeba'!M43,'79287892b1d7'!M43,'1b3f96535b56'!M43),"")</f>
        <v/>
      </c>
      <c r="R14" s="18" t="str">
        <f>IFERROR(AVERAGE('1ae03038ed69'!N43,'1572eb063e5c'!N43,b6ea66d78823!N43,'6d8dcb722ca4'!N43,'9306b30af184'!N43,'3b760aaeab13'!N43,b2f4402deaee!N43,'1c4d314e87cd'!N43,acd4708edfe6!N43,'9a32b1f50fb5'!N43,'2df562aa32e7'!N43,'3a5a3c04bd9d'!N43,'192241189337'!N43,'23a0423d7f40'!N43,'096252bb3796'!N43,a53d1c7f9645!N43,'283d32631463'!N43,'1a542cfbf2c5'!N43,cf262786a0e1!N43,'4b9efdeaeb40'!N43,'66fab14edc4c'!N43,d9a84a7879b5!N43,caf2b28627a3!N43,'602e9d1875d1'!N43,f168037f7f37!N43,eb071de1ab08!N43,'7b3bd85715a4'!N43,e2a9b537c609!N43,f97457958ce9!N43,'281fcc7d7eae'!N43,'01454b1cfeba'!N43,'79287892b1d7'!N43,'1b3f96535b56'!N43),"")</f>
        <v/>
      </c>
      <c r="U14" t="s">
        <v>34</v>
      </c>
      <c r="V14" t="s">
        <v>35</v>
      </c>
    </row>
    <row r="15" spans="2:22" ht="15.75" customHeight="1">
      <c r="B15" s="19"/>
      <c r="C15" s="9"/>
      <c r="F15" s="16" t="str">
        <f>LEFT(Definitions!B17,25)&amp;"…"</f>
        <v>Living together, interdep…</v>
      </c>
      <c r="G15" s="17" t="str">
        <f>IFERROR(AVERAGE('1ae03038ed69'!C44,'1572eb063e5c'!C44,b6ea66d78823!C44,'6d8dcb722ca4'!C44,'9306b30af184'!C44,'3b760aaeab13'!C44,b2f4402deaee!C44,'1c4d314e87cd'!C44,acd4708edfe6!C44,'9a32b1f50fb5'!C44,'2df562aa32e7'!C44,'3a5a3c04bd9d'!C44,'192241189337'!C44,'23a0423d7f40'!C44,'096252bb3796'!C44,a53d1c7f9645!C44,'283d32631463'!C44,'1a542cfbf2c5'!C44,cf262786a0e1!C44,'4b9efdeaeb40'!C44,'66fab14edc4c'!C44,d9a84a7879b5!C44,caf2b28627a3!C44,'602e9d1875d1'!C44,f168037f7f37!C44,eb071de1ab08!C44,'7b3bd85715a4'!C44,e2a9b537c609!C44,f97457958ce9!C44,'281fcc7d7eae'!C44,'01454b1cfeba'!C44,'79287892b1d7'!C44,'1b3f96535b56'!C44),"")</f>
        <v/>
      </c>
      <c r="H15" s="17" t="str">
        <f>IFERROR(AVERAGE('1ae03038ed69'!D44,'1572eb063e5c'!D44,b6ea66d78823!D44,'6d8dcb722ca4'!D44,'9306b30af184'!D44,'3b760aaeab13'!D44,b2f4402deaee!D44,'1c4d314e87cd'!D44,acd4708edfe6!D44,'9a32b1f50fb5'!D44,'2df562aa32e7'!D44,'3a5a3c04bd9d'!D44,'192241189337'!D44,'23a0423d7f40'!D44,'096252bb3796'!D44,a53d1c7f9645!D44,'283d32631463'!D44,'1a542cfbf2c5'!D44,cf262786a0e1!D44,'4b9efdeaeb40'!D44,'66fab14edc4c'!D44,d9a84a7879b5!D44,caf2b28627a3!D44,'602e9d1875d1'!D44,f168037f7f37!D44,eb071de1ab08!D44,'7b3bd85715a4'!D44,e2a9b537c609!D44,f97457958ce9!D44,'281fcc7d7eae'!D44,'01454b1cfeba'!D44,'79287892b1d7'!D44,'1b3f96535b56'!D44),"")</f>
        <v/>
      </c>
      <c r="I15" s="18" t="str">
        <f>IFERROR(AVERAGE('1ae03038ed69'!E44,'1572eb063e5c'!E44,b6ea66d78823!E44,'6d8dcb722ca4'!E44,'9306b30af184'!E44,'3b760aaeab13'!E44,b2f4402deaee!E44,'1c4d314e87cd'!E44,acd4708edfe6!E44,'9a32b1f50fb5'!E44,'2df562aa32e7'!E44,'3a5a3c04bd9d'!E44,'192241189337'!E44,'23a0423d7f40'!E44,'096252bb3796'!E44,a53d1c7f9645!E44,'283d32631463'!E44,'1a542cfbf2c5'!E44,cf262786a0e1!E44,'4b9efdeaeb40'!E44,'66fab14edc4c'!E44,d9a84a7879b5!E44,caf2b28627a3!E44,'602e9d1875d1'!E44,f168037f7f37!E44,eb071de1ab08!E44,'7b3bd85715a4'!E44,e2a9b537c609!E44,f97457958ce9!E44,'281fcc7d7eae'!E44,'01454b1cfeba'!E44,'79287892b1d7'!E44,'1b3f96535b56'!E44),"")</f>
        <v/>
      </c>
      <c r="J15" s="18" t="str">
        <f>IFERROR(AVERAGE('1ae03038ed69'!F44,'1572eb063e5c'!F44,b6ea66d78823!F44,'6d8dcb722ca4'!F44,'9306b30af184'!F44,'3b760aaeab13'!F44,b2f4402deaee!F44,'1c4d314e87cd'!F44,acd4708edfe6!F44,'9a32b1f50fb5'!F44,'2df562aa32e7'!F44,'3a5a3c04bd9d'!F44,'192241189337'!F44,'23a0423d7f40'!F44,'096252bb3796'!F44,a53d1c7f9645!F44,'283d32631463'!F44,'1a542cfbf2c5'!F44,cf262786a0e1!F44,'4b9efdeaeb40'!F44,'66fab14edc4c'!F44,d9a84a7879b5!F44,caf2b28627a3!F44,'602e9d1875d1'!F44,f168037f7f37!F44,eb071de1ab08!F44,'7b3bd85715a4'!F44,e2a9b537c609!F44,f97457958ce9!F44,'281fcc7d7eae'!F44,'01454b1cfeba'!F44,'79287892b1d7'!F44,'1b3f96535b56'!F44),"")</f>
        <v/>
      </c>
      <c r="K15" s="17" t="str">
        <f>IFERROR(AVERAGE('1ae03038ed69'!G44,'1572eb063e5c'!G44,b6ea66d78823!G44,'6d8dcb722ca4'!G44,'9306b30af184'!G44,'3b760aaeab13'!G44,b2f4402deaee!G44,'1c4d314e87cd'!G44,acd4708edfe6!G44,'9a32b1f50fb5'!G44,'2df562aa32e7'!G44,'3a5a3c04bd9d'!G44,'192241189337'!G44,'23a0423d7f40'!G44,'096252bb3796'!G44,a53d1c7f9645!G44,'283d32631463'!G44,'1a542cfbf2c5'!G44,cf262786a0e1!G44,'4b9efdeaeb40'!G44,'66fab14edc4c'!G44,d9a84a7879b5!G44,caf2b28627a3!G44,'602e9d1875d1'!G44,f168037f7f37!G44,eb071de1ab08!G44,'7b3bd85715a4'!G44,e2a9b537c609!G44,f97457958ce9!G44,'281fcc7d7eae'!G44,'01454b1cfeba'!G44,'79287892b1d7'!G44,'1b3f96535b56'!G44),"")</f>
        <v/>
      </c>
      <c r="L15" s="17" t="str">
        <f>IFERROR(AVERAGE('1ae03038ed69'!H44,'1572eb063e5c'!H44,b6ea66d78823!H44,'6d8dcb722ca4'!H44,'9306b30af184'!H44,'3b760aaeab13'!H44,b2f4402deaee!H44,'1c4d314e87cd'!H44,acd4708edfe6!H44,'9a32b1f50fb5'!H44,'2df562aa32e7'!H44,'3a5a3c04bd9d'!H44,'192241189337'!H44,'23a0423d7f40'!H44,'096252bb3796'!H44,a53d1c7f9645!H44,'283d32631463'!H44,'1a542cfbf2c5'!H44,cf262786a0e1!H44,'4b9efdeaeb40'!H44,'66fab14edc4c'!H44,d9a84a7879b5!H44,caf2b28627a3!H44,'602e9d1875d1'!H44,f168037f7f37!H44,eb071de1ab08!H44,'7b3bd85715a4'!H44,e2a9b537c609!H44,f97457958ce9!H44,'281fcc7d7eae'!H44,'01454b1cfeba'!H44,'79287892b1d7'!H44,'1b3f96535b56'!H44),"")</f>
        <v/>
      </c>
      <c r="M15" s="18" t="str">
        <f>IFERROR(AVERAGE('1ae03038ed69'!I44,'1572eb063e5c'!I44,b6ea66d78823!I44,'6d8dcb722ca4'!I44,'9306b30af184'!I44,'3b760aaeab13'!I44,b2f4402deaee!I44,'1c4d314e87cd'!I44,acd4708edfe6!I44,'9a32b1f50fb5'!I44,'2df562aa32e7'!I44,'3a5a3c04bd9d'!I44,'192241189337'!I44,'23a0423d7f40'!I44,'096252bb3796'!I44,a53d1c7f9645!I44,'283d32631463'!I44,'1a542cfbf2c5'!I44,cf262786a0e1!I44,'4b9efdeaeb40'!I44,'66fab14edc4c'!I44,d9a84a7879b5!I44,caf2b28627a3!I44,'602e9d1875d1'!I44,f168037f7f37!I44,eb071de1ab08!I44,'7b3bd85715a4'!I44,e2a9b537c609!I44,f97457958ce9!I44,'281fcc7d7eae'!I44,'01454b1cfeba'!I44,'79287892b1d7'!I44,'1b3f96535b56'!I44),"")</f>
        <v/>
      </c>
      <c r="N15" s="18" t="str">
        <f>IFERROR(AVERAGE('1ae03038ed69'!J44,'1572eb063e5c'!J44,b6ea66d78823!J44,'6d8dcb722ca4'!J44,'9306b30af184'!J44,'3b760aaeab13'!J44,b2f4402deaee!J44,'1c4d314e87cd'!J44,acd4708edfe6!J44,'9a32b1f50fb5'!J44,'2df562aa32e7'!J44,'3a5a3c04bd9d'!J44,'192241189337'!J44,'23a0423d7f40'!J44,'096252bb3796'!J44,a53d1c7f9645!J44,'283d32631463'!J44,'1a542cfbf2c5'!J44,cf262786a0e1!J44,'4b9efdeaeb40'!J44,'66fab14edc4c'!J44,d9a84a7879b5!J44,caf2b28627a3!J44,'602e9d1875d1'!J44,f168037f7f37!J44,eb071de1ab08!J44,'7b3bd85715a4'!J44,e2a9b537c609!J44,f97457958ce9!J44,'281fcc7d7eae'!J44,'01454b1cfeba'!J44,'79287892b1d7'!J44,'1b3f96535b56'!J44),"")</f>
        <v/>
      </c>
      <c r="O15" s="17">
        <f>IFERROR(AVERAGE('1ae03038ed69'!K44,'1572eb063e5c'!K44,b6ea66d78823!K44,'6d8dcb722ca4'!K44,'9306b30af184'!K44,'3b760aaeab13'!K44,b2f4402deaee!K44,'1c4d314e87cd'!K44,acd4708edfe6!K44,'9a32b1f50fb5'!K44,'2df562aa32e7'!K44,'3a5a3c04bd9d'!K44,'192241189337'!K44,'23a0423d7f40'!K44,'096252bb3796'!K44,a53d1c7f9645!K44,'283d32631463'!K44,'1a542cfbf2c5'!K44,cf262786a0e1!K44,'4b9efdeaeb40'!K44,'66fab14edc4c'!K44,d9a84a7879b5!K44,caf2b28627a3!K44,'602e9d1875d1'!K44,f168037f7f37!K44,eb071de1ab08!K44,'7b3bd85715a4'!K44,e2a9b537c609!K44,f97457958ce9!K44,'281fcc7d7eae'!K44,'01454b1cfeba'!K44,'79287892b1d7'!K44,'1b3f96535b56'!K44),"")</f>
        <v>3.3333333333333335</v>
      </c>
      <c r="P15" s="17">
        <f>IFERROR(AVERAGE('1ae03038ed69'!L44,'1572eb063e5c'!L44,b6ea66d78823!L44,'6d8dcb722ca4'!L44,'9306b30af184'!L44,'3b760aaeab13'!L44,b2f4402deaee!L44,'1c4d314e87cd'!L44,acd4708edfe6!L44,'9a32b1f50fb5'!L44,'2df562aa32e7'!L44,'3a5a3c04bd9d'!L44,'192241189337'!L44,'23a0423d7f40'!L44,'096252bb3796'!L44,a53d1c7f9645!L44,'283d32631463'!L44,'1a542cfbf2c5'!L44,cf262786a0e1!L44,'4b9efdeaeb40'!L44,'66fab14edc4c'!L44,d9a84a7879b5!L44,caf2b28627a3!L44,'602e9d1875d1'!L44,f168037f7f37!L44,eb071de1ab08!L44,'7b3bd85715a4'!L44,e2a9b537c609!L44,f97457958ce9!L44,'281fcc7d7eae'!L44,'01454b1cfeba'!L44,'79287892b1d7'!L44,'1b3f96535b56'!L44),"")</f>
        <v>5</v>
      </c>
      <c r="Q15" s="18" t="str">
        <f>IFERROR(AVERAGE('1ae03038ed69'!M44,'1572eb063e5c'!M44,b6ea66d78823!M44,'6d8dcb722ca4'!M44,'9306b30af184'!M44,'3b760aaeab13'!M44,b2f4402deaee!M44,'1c4d314e87cd'!M44,acd4708edfe6!M44,'9a32b1f50fb5'!M44,'2df562aa32e7'!M44,'3a5a3c04bd9d'!M44,'192241189337'!M44,'23a0423d7f40'!M44,'096252bb3796'!M44,a53d1c7f9645!M44,'283d32631463'!M44,'1a542cfbf2c5'!M44,cf262786a0e1!M44,'4b9efdeaeb40'!M44,'66fab14edc4c'!M44,d9a84a7879b5!M44,caf2b28627a3!M44,'602e9d1875d1'!M44,f168037f7f37!M44,eb071de1ab08!M44,'7b3bd85715a4'!M44,e2a9b537c609!M44,f97457958ce9!M44,'281fcc7d7eae'!M44,'01454b1cfeba'!M44,'79287892b1d7'!M44,'1b3f96535b56'!M44),"")</f>
        <v/>
      </c>
      <c r="R15" s="18">
        <f>IFERROR(AVERAGE('1ae03038ed69'!N44,'1572eb063e5c'!N44,b6ea66d78823!N44,'6d8dcb722ca4'!N44,'9306b30af184'!N44,'3b760aaeab13'!N44,b2f4402deaee!N44,'1c4d314e87cd'!N44,acd4708edfe6!N44,'9a32b1f50fb5'!N44,'2df562aa32e7'!N44,'3a5a3c04bd9d'!N44,'192241189337'!N44,'23a0423d7f40'!N44,'096252bb3796'!N44,a53d1c7f9645!N44,'283d32631463'!N44,'1a542cfbf2c5'!N44,cf262786a0e1!N44,'4b9efdeaeb40'!N44,'66fab14edc4c'!N44,d9a84a7879b5!N44,caf2b28627a3!N44,'602e9d1875d1'!N44,f168037f7f37!N44,eb071de1ab08!N44,'7b3bd85715a4'!N44,e2a9b537c609!N44,f97457958ce9!N44,'281fcc7d7eae'!N44,'01454b1cfeba'!N44,'79287892b1d7'!N44,'1b3f96535b56'!N44),"")</f>
        <v>4</v>
      </c>
      <c r="U15" t="s">
        <v>36</v>
      </c>
      <c r="V15" t="s">
        <v>37</v>
      </c>
    </row>
    <row r="16" spans="2:22" ht="15.75" customHeight="1">
      <c r="B16" s="57" t="s">
        <v>38</v>
      </c>
      <c r="C16" s="11"/>
      <c r="F16" s="16" t="str">
        <f>LEFT(Definitions!B18,25)&amp;"…"</f>
        <v>Economy and sustainable p…</v>
      </c>
      <c r="G16" s="17">
        <f>IFERROR(AVERAGE('1ae03038ed69'!C45,'1572eb063e5c'!C45,b6ea66d78823!C45,'6d8dcb722ca4'!C45,'9306b30af184'!C45,'3b760aaeab13'!C45,b2f4402deaee!C45,'1c4d314e87cd'!C45,acd4708edfe6!C45,'9a32b1f50fb5'!C45,'2df562aa32e7'!C45,'3a5a3c04bd9d'!C45,'192241189337'!C45,'23a0423d7f40'!C45,'096252bb3796'!C45,a53d1c7f9645!C45,'283d32631463'!C45,'1a542cfbf2c5'!C45,cf262786a0e1!C45,'4b9efdeaeb40'!C45,'66fab14edc4c'!C45,d9a84a7879b5!C45,caf2b28627a3!C45,'602e9d1875d1'!C45,f168037f7f37!C45,eb071de1ab08!C45,'7b3bd85715a4'!C45,e2a9b537c609!C45,f97457958ce9!C45,'281fcc7d7eae'!C45,'01454b1cfeba'!C45,'79287892b1d7'!C45,'1b3f96535b56'!C45),"")</f>
        <v>2.6666666666666665</v>
      </c>
      <c r="H16" s="17" t="str">
        <f>IFERROR(AVERAGE('1ae03038ed69'!D45,'1572eb063e5c'!D45,b6ea66d78823!D45,'6d8dcb722ca4'!D45,'9306b30af184'!D45,'3b760aaeab13'!D45,b2f4402deaee!D45,'1c4d314e87cd'!D45,acd4708edfe6!D45,'9a32b1f50fb5'!D45,'2df562aa32e7'!D45,'3a5a3c04bd9d'!D45,'192241189337'!D45,'23a0423d7f40'!D45,'096252bb3796'!D45,a53d1c7f9645!D45,'283d32631463'!D45,'1a542cfbf2c5'!D45,cf262786a0e1!D45,'4b9efdeaeb40'!D45,'66fab14edc4c'!D45,d9a84a7879b5!D45,caf2b28627a3!D45,'602e9d1875d1'!D45,f168037f7f37!D45,eb071de1ab08!D45,'7b3bd85715a4'!D45,e2a9b537c609!D45,f97457958ce9!D45,'281fcc7d7eae'!D45,'01454b1cfeba'!D45,'79287892b1d7'!D45,'1b3f96535b56'!D45),"")</f>
        <v/>
      </c>
      <c r="I16" s="18">
        <f>IFERROR(AVERAGE('1ae03038ed69'!E45,'1572eb063e5c'!E45,b6ea66d78823!E45,'6d8dcb722ca4'!E45,'9306b30af184'!E45,'3b760aaeab13'!E45,b2f4402deaee!E45,'1c4d314e87cd'!E45,acd4708edfe6!E45,'9a32b1f50fb5'!E45,'2df562aa32e7'!E45,'3a5a3c04bd9d'!E45,'192241189337'!E45,'23a0423d7f40'!E45,'096252bb3796'!E45,a53d1c7f9645!E45,'283d32631463'!E45,'1a542cfbf2c5'!E45,cf262786a0e1!E45,'4b9efdeaeb40'!E45,'66fab14edc4c'!E45,d9a84a7879b5!E45,caf2b28627a3!E45,'602e9d1875d1'!E45,f168037f7f37!E45,eb071de1ab08!E45,'7b3bd85715a4'!E45,e2a9b537c609!E45,f97457958ce9!E45,'281fcc7d7eae'!E45,'01454b1cfeba'!E45,'79287892b1d7'!E45,'1b3f96535b56'!E45),"")</f>
        <v>1</v>
      </c>
      <c r="J16" s="18">
        <f>IFERROR(AVERAGE('1ae03038ed69'!F45,'1572eb063e5c'!F45,b6ea66d78823!F45,'6d8dcb722ca4'!F45,'9306b30af184'!F45,'3b760aaeab13'!F45,b2f4402deaee!F45,'1c4d314e87cd'!F45,acd4708edfe6!F45,'9a32b1f50fb5'!F45,'2df562aa32e7'!F45,'3a5a3c04bd9d'!F45,'192241189337'!F45,'23a0423d7f40'!F45,'096252bb3796'!F45,a53d1c7f9645!F45,'283d32631463'!F45,'1a542cfbf2c5'!F45,cf262786a0e1!F45,'4b9efdeaeb40'!F45,'66fab14edc4c'!F45,d9a84a7879b5!F45,caf2b28627a3!F45,'602e9d1875d1'!F45,f168037f7f37!F45,eb071de1ab08!F45,'7b3bd85715a4'!F45,e2a9b537c609!F45,f97457958ce9!F45,'281fcc7d7eae'!F45,'01454b1cfeba'!F45,'79287892b1d7'!F45,'1b3f96535b56'!F45),"")</f>
        <v>1</v>
      </c>
      <c r="K16" s="17">
        <f>IFERROR(AVERAGE('1ae03038ed69'!G45,'1572eb063e5c'!G45,b6ea66d78823!G45,'6d8dcb722ca4'!G45,'9306b30af184'!G45,'3b760aaeab13'!G45,b2f4402deaee!G45,'1c4d314e87cd'!G45,acd4708edfe6!G45,'9a32b1f50fb5'!G45,'2df562aa32e7'!G45,'3a5a3c04bd9d'!G45,'192241189337'!G45,'23a0423d7f40'!G45,'096252bb3796'!G45,a53d1c7f9645!G45,'283d32631463'!G45,'1a542cfbf2c5'!G45,cf262786a0e1!G45,'4b9efdeaeb40'!G45,'66fab14edc4c'!G45,d9a84a7879b5!G45,caf2b28627a3!G45,'602e9d1875d1'!G45,f168037f7f37!G45,eb071de1ab08!G45,'7b3bd85715a4'!G45,e2a9b537c609!G45,f97457958ce9!G45,'281fcc7d7eae'!G45,'01454b1cfeba'!G45,'79287892b1d7'!G45,'1b3f96535b56'!G45),"")</f>
        <v>3.3333333333333335</v>
      </c>
      <c r="L16" s="17">
        <f>IFERROR(AVERAGE('1ae03038ed69'!H45,'1572eb063e5c'!H45,b6ea66d78823!H45,'6d8dcb722ca4'!H45,'9306b30af184'!H45,'3b760aaeab13'!H45,b2f4402deaee!H45,'1c4d314e87cd'!H45,acd4708edfe6!H45,'9a32b1f50fb5'!H45,'2df562aa32e7'!H45,'3a5a3c04bd9d'!H45,'192241189337'!H45,'23a0423d7f40'!H45,'096252bb3796'!H45,a53d1c7f9645!H45,'283d32631463'!H45,'1a542cfbf2c5'!H45,cf262786a0e1!H45,'4b9efdeaeb40'!H45,'66fab14edc4c'!H45,d9a84a7879b5!H45,caf2b28627a3!H45,'602e9d1875d1'!H45,f168037f7f37!H45,eb071de1ab08!H45,'7b3bd85715a4'!H45,e2a9b537c609!H45,f97457958ce9!H45,'281fcc7d7eae'!H45,'01454b1cfeba'!H45,'79287892b1d7'!H45,'1b3f96535b56'!H45),"")</f>
        <v>3</v>
      </c>
      <c r="M16" s="18">
        <f>IFERROR(AVERAGE('1ae03038ed69'!I45,'1572eb063e5c'!I45,b6ea66d78823!I45,'6d8dcb722ca4'!I45,'9306b30af184'!I45,'3b760aaeab13'!I45,b2f4402deaee!I45,'1c4d314e87cd'!I45,acd4708edfe6!I45,'9a32b1f50fb5'!I45,'2df562aa32e7'!I45,'3a5a3c04bd9d'!I45,'192241189337'!I45,'23a0423d7f40'!I45,'096252bb3796'!I45,a53d1c7f9645!I45,'283d32631463'!I45,'1a542cfbf2c5'!I45,cf262786a0e1!I45,'4b9efdeaeb40'!I45,'66fab14edc4c'!I45,d9a84a7879b5!I45,caf2b28627a3!I45,'602e9d1875d1'!I45,f168037f7f37!I45,eb071de1ab08!I45,'7b3bd85715a4'!I45,e2a9b537c609!I45,f97457958ce9!I45,'281fcc7d7eae'!I45,'01454b1cfeba'!I45,'79287892b1d7'!I45,'1b3f96535b56'!I45),"")</f>
        <v>4</v>
      </c>
      <c r="N16" s="18">
        <f>IFERROR(AVERAGE('1ae03038ed69'!J45,'1572eb063e5c'!J45,b6ea66d78823!J45,'6d8dcb722ca4'!J45,'9306b30af184'!J45,'3b760aaeab13'!J45,b2f4402deaee!J45,'1c4d314e87cd'!J45,acd4708edfe6!J45,'9a32b1f50fb5'!J45,'2df562aa32e7'!J45,'3a5a3c04bd9d'!J45,'192241189337'!J45,'23a0423d7f40'!J45,'096252bb3796'!J45,a53d1c7f9645!J45,'283d32631463'!J45,'1a542cfbf2c5'!J45,cf262786a0e1!J45,'4b9efdeaeb40'!J45,'66fab14edc4c'!J45,d9a84a7879b5!J45,caf2b28627a3!J45,'602e9d1875d1'!J45,f168037f7f37!J45,eb071de1ab08!J45,'7b3bd85715a4'!J45,e2a9b537c609!J45,f97457958ce9!J45,'281fcc7d7eae'!J45,'01454b1cfeba'!J45,'79287892b1d7'!J45,'1b3f96535b56'!J45),"")</f>
        <v>4</v>
      </c>
      <c r="O16" s="17" t="str">
        <f>IFERROR(AVERAGE('1ae03038ed69'!K45,'1572eb063e5c'!K45,b6ea66d78823!K45,'6d8dcb722ca4'!K45,'9306b30af184'!K45,'3b760aaeab13'!K45,b2f4402deaee!K45,'1c4d314e87cd'!K45,acd4708edfe6!K45,'9a32b1f50fb5'!K45,'2df562aa32e7'!K45,'3a5a3c04bd9d'!K45,'192241189337'!K45,'23a0423d7f40'!K45,'096252bb3796'!K45,a53d1c7f9645!K45,'283d32631463'!K45,'1a542cfbf2c5'!K45,cf262786a0e1!K45,'4b9efdeaeb40'!K45,'66fab14edc4c'!K45,d9a84a7879b5!K45,caf2b28627a3!K45,'602e9d1875d1'!K45,f168037f7f37!K45,eb071de1ab08!K45,'7b3bd85715a4'!K45,e2a9b537c609!K45,f97457958ce9!K45,'281fcc7d7eae'!K45,'01454b1cfeba'!K45,'79287892b1d7'!K45,'1b3f96535b56'!K45),"")</f>
        <v/>
      </c>
      <c r="P16" s="17">
        <f>IFERROR(AVERAGE('1ae03038ed69'!L45,'1572eb063e5c'!L45,b6ea66d78823!L45,'6d8dcb722ca4'!L45,'9306b30af184'!L45,'3b760aaeab13'!L45,b2f4402deaee!L45,'1c4d314e87cd'!L45,acd4708edfe6!L45,'9a32b1f50fb5'!L45,'2df562aa32e7'!L45,'3a5a3c04bd9d'!L45,'192241189337'!L45,'23a0423d7f40'!L45,'096252bb3796'!L45,a53d1c7f9645!L45,'283d32631463'!L45,'1a542cfbf2c5'!L45,cf262786a0e1!L45,'4b9efdeaeb40'!L45,'66fab14edc4c'!L45,d9a84a7879b5!L45,caf2b28627a3!L45,'602e9d1875d1'!L45,f168037f7f37!L45,eb071de1ab08!L45,'7b3bd85715a4'!L45,e2a9b537c609!L45,f97457958ce9!L45,'281fcc7d7eae'!L45,'01454b1cfeba'!L45,'79287892b1d7'!L45,'1b3f96535b56'!L45),"")</f>
        <v>3</v>
      </c>
      <c r="Q16" s="18">
        <f>IFERROR(AVERAGE('1ae03038ed69'!M45,'1572eb063e5c'!M45,b6ea66d78823!M45,'6d8dcb722ca4'!M45,'9306b30af184'!M45,'3b760aaeab13'!M45,b2f4402deaee!M45,'1c4d314e87cd'!M45,acd4708edfe6!M45,'9a32b1f50fb5'!M45,'2df562aa32e7'!M45,'3a5a3c04bd9d'!M45,'192241189337'!M45,'23a0423d7f40'!M45,'096252bb3796'!M45,a53d1c7f9645!M45,'283d32631463'!M45,'1a542cfbf2c5'!M45,cf262786a0e1!M45,'4b9efdeaeb40'!M45,'66fab14edc4c'!M45,d9a84a7879b5!M45,caf2b28627a3!M45,'602e9d1875d1'!M45,f168037f7f37!M45,eb071de1ab08!M45,'7b3bd85715a4'!M45,e2a9b537c609!M45,f97457958ce9!M45,'281fcc7d7eae'!M45,'01454b1cfeba'!M45,'79287892b1d7'!M45,'1b3f96535b56'!M45),"")</f>
        <v>1</v>
      </c>
      <c r="R16" s="18">
        <f>IFERROR(AVERAGE('1ae03038ed69'!N45,'1572eb063e5c'!N45,b6ea66d78823!N45,'6d8dcb722ca4'!N45,'9306b30af184'!N45,'3b760aaeab13'!N45,b2f4402deaee!N45,'1c4d314e87cd'!N45,acd4708edfe6!N45,'9a32b1f50fb5'!N45,'2df562aa32e7'!N45,'3a5a3c04bd9d'!N45,'192241189337'!N45,'23a0423d7f40'!N45,'096252bb3796'!N45,a53d1c7f9645!N45,'283d32631463'!N45,'1a542cfbf2c5'!N45,cf262786a0e1!N45,'4b9efdeaeb40'!N45,'66fab14edc4c'!N45,d9a84a7879b5!N45,caf2b28627a3!N45,'602e9d1875d1'!N45,f168037f7f37!N45,eb071de1ab08!N45,'7b3bd85715a4'!N45,e2a9b537c609!N45,f97457958ce9!N45,'281fcc7d7eae'!N45,'01454b1cfeba'!N45,'79287892b1d7'!N45,'1b3f96535b56'!N45),"")</f>
        <v>1</v>
      </c>
      <c r="U16" t="s">
        <v>39</v>
      </c>
      <c r="V16" t="s">
        <v>40</v>
      </c>
    </row>
    <row r="17" spans="2:22" ht="15.75" customHeight="1">
      <c r="B17" s="86"/>
      <c r="C17" s="11"/>
      <c r="F17" s="16" t="str">
        <f>LEFT(Definitions!B19,25)&amp;"…"</f>
        <v>Living and working enviro…</v>
      </c>
      <c r="G17" s="17">
        <f>IFERROR(AVERAGE('1ae03038ed69'!C46,'1572eb063e5c'!C46,b6ea66d78823!C46,'6d8dcb722ca4'!C46,'9306b30af184'!C46,'3b760aaeab13'!C46,b2f4402deaee!C46,'1c4d314e87cd'!C46,acd4708edfe6!C46,'9a32b1f50fb5'!C46,'2df562aa32e7'!C46,'3a5a3c04bd9d'!C46,'192241189337'!C46,'23a0423d7f40'!C46,'096252bb3796'!C46,a53d1c7f9645!C46,'283d32631463'!C46,'1a542cfbf2c5'!C46,cf262786a0e1!C46,'4b9efdeaeb40'!C46,'66fab14edc4c'!C46,d9a84a7879b5!C46,caf2b28627a3!C46,'602e9d1875d1'!C46,f168037f7f37!C46,eb071de1ab08!C46,'7b3bd85715a4'!C46,e2a9b537c609!C46,f97457958ce9!C46,'281fcc7d7eae'!C46,'01454b1cfeba'!C46,'79287892b1d7'!C46,'1b3f96535b56'!C46),"")</f>
        <v>3.5</v>
      </c>
      <c r="H17" s="17">
        <f>IFERROR(AVERAGE('1ae03038ed69'!D46,'1572eb063e5c'!D46,b6ea66d78823!D46,'6d8dcb722ca4'!D46,'9306b30af184'!D46,'3b760aaeab13'!D46,b2f4402deaee!D46,'1c4d314e87cd'!D46,acd4708edfe6!D46,'9a32b1f50fb5'!D46,'2df562aa32e7'!D46,'3a5a3c04bd9d'!D46,'192241189337'!D46,'23a0423d7f40'!D46,'096252bb3796'!D46,a53d1c7f9645!D46,'283d32631463'!D46,'1a542cfbf2c5'!D46,cf262786a0e1!D46,'4b9efdeaeb40'!D46,'66fab14edc4c'!D46,d9a84a7879b5!D46,caf2b28627a3!D46,'602e9d1875d1'!D46,f168037f7f37!D46,eb071de1ab08!D46,'7b3bd85715a4'!D46,e2a9b537c609!D46,f97457958ce9!D46,'281fcc7d7eae'!D46,'01454b1cfeba'!D46,'79287892b1d7'!D46,'1b3f96535b56'!D46),"")</f>
        <v>4</v>
      </c>
      <c r="I17" s="18" t="str">
        <f>IFERROR(AVERAGE('1ae03038ed69'!E46,'1572eb063e5c'!E46,b6ea66d78823!E46,'6d8dcb722ca4'!E46,'9306b30af184'!E46,'3b760aaeab13'!E46,b2f4402deaee!E46,'1c4d314e87cd'!E46,acd4708edfe6!E46,'9a32b1f50fb5'!E46,'2df562aa32e7'!E46,'3a5a3c04bd9d'!E46,'192241189337'!E46,'23a0423d7f40'!E46,'096252bb3796'!E46,a53d1c7f9645!E46,'283d32631463'!E46,'1a542cfbf2c5'!E46,cf262786a0e1!E46,'4b9efdeaeb40'!E46,'66fab14edc4c'!E46,d9a84a7879b5!E46,caf2b28627a3!E46,'602e9d1875d1'!E46,f168037f7f37!E46,eb071de1ab08!E46,'7b3bd85715a4'!E46,e2a9b537c609!E46,f97457958ce9!E46,'281fcc7d7eae'!E46,'01454b1cfeba'!E46,'79287892b1d7'!E46,'1b3f96535b56'!E46),"")</f>
        <v/>
      </c>
      <c r="J17" s="18" t="str">
        <f>IFERROR(AVERAGE('1ae03038ed69'!F46,'1572eb063e5c'!F46,b6ea66d78823!F46,'6d8dcb722ca4'!F46,'9306b30af184'!F46,'3b760aaeab13'!F46,b2f4402deaee!F46,'1c4d314e87cd'!F46,acd4708edfe6!F46,'9a32b1f50fb5'!F46,'2df562aa32e7'!F46,'3a5a3c04bd9d'!F46,'192241189337'!F46,'23a0423d7f40'!F46,'096252bb3796'!F46,a53d1c7f9645!F46,'283d32631463'!F46,'1a542cfbf2c5'!F46,cf262786a0e1!F46,'4b9efdeaeb40'!F46,'66fab14edc4c'!F46,d9a84a7879b5!F46,caf2b28627a3!F46,'602e9d1875d1'!F46,f168037f7f37!F46,eb071de1ab08!F46,'7b3bd85715a4'!F46,e2a9b537c609!F46,f97457958ce9!F46,'281fcc7d7eae'!F46,'01454b1cfeba'!F46,'79287892b1d7'!F46,'1b3f96535b56'!F46),"")</f>
        <v/>
      </c>
      <c r="K17" s="17" t="str">
        <f>IFERROR(AVERAGE('1ae03038ed69'!G46,'1572eb063e5c'!G46,b6ea66d78823!G46,'6d8dcb722ca4'!G46,'9306b30af184'!G46,'3b760aaeab13'!G46,b2f4402deaee!G46,'1c4d314e87cd'!G46,acd4708edfe6!G46,'9a32b1f50fb5'!G46,'2df562aa32e7'!G46,'3a5a3c04bd9d'!G46,'192241189337'!G46,'23a0423d7f40'!G46,'096252bb3796'!G46,a53d1c7f9645!G46,'283d32631463'!G46,'1a542cfbf2c5'!G46,cf262786a0e1!G46,'4b9efdeaeb40'!G46,'66fab14edc4c'!G46,d9a84a7879b5!G46,caf2b28627a3!G46,'602e9d1875d1'!G46,f168037f7f37!G46,eb071de1ab08!G46,'7b3bd85715a4'!G46,e2a9b537c609!G46,f97457958ce9!G46,'281fcc7d7eae'!G46,'01454b1cfeba'!G46,'79287892b1d7'!G46,'1b3f96535b56'!G46),"")</f>
        <v/>
      </c>
      <c r="L17" s="17" t="str">
        <f>IFERROR(AVERAGE('1ae03038ed69'!H46,'1572eb063e5c'!H46,b6ea66d78823!H46,'6d8dcb722ca4'!H46,'9306b30af184'!H46,'3b760aaeab13'!H46,b2f4402deaee!H46,'1c4d314e87cd'!H46,acd4708edfe6!H46,'9a32b1f50fb5'!H46,'2df562aa32e7'!H46,'3a5a3c04bd9d'!H46,'192241189337'!H46,'23a0423d7f40'!H46,'096252bb3796'!H46,a53d1c7f9645!H46,'283d32631463'!H46,'1a542cfbf2c5'!H46,cf262786a0e1!H46,'4b9efdeaeb40'!H46,'66fab14edc4c'!H46,d9a84a7879b5!H46,caf2b28627a3!H46,'602e9d1875d1'!H46,f168037f7f37!H46,eb071de1ab08!H46,'7b3bd85715a4'!H46,e2a9b537c609!H46,f97457958ce9!H46,'281fcc7d7eae'!H46,'01454b1cfeba'!H46,'79287892b1d7'!H46,'1b3f96535b56'!H46),"")</f>
        <v/>
      </c>
      <c r="M17" s="18">
        <f>IFERROR(AVERAGE('1ae03038ed69'!I46,'1572eb063e5c'!I46,b6ea66d78823!I46,'6d8dcb722ca4'!I46,'9306b30af184'!I46,'3b760aaeab13'!I46,b2f4402deaee!I46,'1c4d314e87cd'!I46,acd4708edfe6!I46,'9a32b1f50fb5'!I46,'2df562aa32e7'!I46,'3a5a3c04bd9d'!I46,'192241189337'!I46,'23a0423d7f40'!I46,'096252bb3796'!I46,a53d1c7f9645!I46,'283d32631463'!I46,'1a542cfbf2c5'!I46,cf262786a0e1!I46,'4b9efdeaeb40'!I46,'66fab14edc4c'!I46,d9a84a7879b5!I46,caf2b28627a3!I46,'602e9d1875d1'!I46,f168037f7f37!I46,eb071de1ab08!I46,'7b3bd85715a4'!I46,e2a9b537c609!I46,f97457958ce9!I46,'281fcc7d7eae'!I46,'01454b1cfeba'!I46,'79287892b1d7'!I46,'1b3f96535b56'!I46),"")</f>
        <v>3.7916666666666665</v>
      </c>
      <c r="N17" s="18">
        <f>IFERROR(AVERAGE('1ae03038ed69'!J46,'1572eb063e5c'!J46,b6ea66d78823!J46,'6d8dcb722ca4'!J46,'9306b30af184'!J46,'3b760aaeab13'!J46,b2f4402deaee!J46,'1c4d314e87cd'!J46,acd4708edfe6!J46,'9a32b1f50fb5'!J46,'2df562aa32e7'!J46,'3a5a3c04bd9d'!J46,'192241189337'!J46,'23a0423d7f40'!J46,'096252bb3796'!J46,a53d1c7f9645!J46,'283d32631463'!J46,'1a542cfbf2c5'!J46,cf262786a0e1!J46,'4b9efdeaeb40'!J46,'66fab14edc4c'!J46,d9a84a7879b5!J46,caf2b28627a3!J46,'602e9d1875d1'!J46,f168037f7f37!J46,eb071de1ab08!J46,'7b3bd85715a4'!J46,e2a9b537c609!J46,f97457958ce9!J46,'281fcc7d7eae'!J46,'01454b1cfeba'!J46,'79287892b1d7'!J46,'1b3f96535b56'!J46),"")</f>
        <v>3</v>
      </c>
      <c r="O17" s="17">
        <f>IFERROR(AVERAGE('1ae03038ed69'!K46,'1572eb063e5c'!K46,b6ea66d78823!K46,'6d8dcb722ca4'!K46,'9306b30af184'!K46,'3b760aaeab13'!K46,b2f4402deaee!K46,'1c4d314e87cd'!K46,acd4708edfe6!K46,'9a32b1f50fb5'!K46,'2df562aa32e7'!K46,'3a5a3c04bd9d'!K46,'192241189337'!K46,'23a0423d7f40'!K46,'096252bb3796'!K46,a53d1c7f9645!K46,'283d32631463'!K46,'1a542cfbf2c5'!K46,cf262786a0e1!K46,'4b9efdeaeb40'!K46,'66fab14edc4c'!K46,d9a84a7879b5!K46,caf2b28627a3!K46,'602e9d1875d1'!K46,f168037f7f37!K46,eb071de1ab08!K46,'7b3bd85715a4'!K46,e2a9b537c609!K46,f97457958ce9!K46,'281fcc7d7eae'!K46,'01454b1cfeba'!K46,'79287892b1d7'!K46,'1b3f96535b56'!K46),"")</f>
        <v>3</v>
      </c>
      <c r="P17" s="17" t="str">
        <f>IFERROR(AVERAGE('1ae03038ed69'!L46,'1572eb063e5c'!L46,b6ea66d78823!L46,'6d8dcb722ca4'!L46,'9306b30af184'!L46,'3b760aaeab13'!L46,b2f4402deaee!L46,'1c4d314e87cd'!L46,acd4708edfe6!L46,'9a32b1f50fb5'!L46,'2df562aa32e7'!L46,'3a5a3c04bd9d'!L46,'192241189337'!L46,'23a0423d7f40'!L46,'096252bb3796'!L46,a53d1c7f9645!L46,'283d32631463'!L46,'1a542cfbf2c5'!L46,cf262786a0e1!L46,'4b9efdeaeb40'!L46,'66fab14edc4c'!L46,d9a84a7879b5!L46,caf2b28627a3!L46,'602e9d1875d1'!L46,f168037f7f37!L46,eb071de1ab08!L46,'7b3bd85715a4'!L46,e2a9b537c609!L46,f97457958ce9!L46,'281fcc7d7eae'!L46,'01454b1cfeba'!L46,'79287892b1d7'!L46,'1b3f96535b56'!L46),"")</f>
        <v/>
      </c>
      <c r="Q17" s="18">
        <f>IFERROR(AVERAGE('1ae03038ed69'!M46,'1572eb063e5c'!M46,b6ea66d78823!M46,'6d8dcb722ca4'!M46,'9306b30af184'!M46,'3b760aaeab13'!M46,b2f4402deaee!M46,'1c4d314e87cd'!M46,acd4708edfe6!M46,'9a32b1f50fb5'!M46,'2df562aa32e7'!M46,'3a5a3c04bd9d'!M46,'192241189337'!M46,'23a0423d7f40'!M46,'096252bb3796'!M46,a53d1c7f9645!M46,'283d32631463'!M46,'1a542cfbf2c5'!M46,cf262786a0e1!M46,'4b9efdeaeb40'!M46,'66fab14edc4c'!M46,d9a84a7879b5!M46,caf2b28627a3!M46,'602e9d1875d1'!M46,f168037f7f37!M46,eb071de1ab08!M46,'7b3bd85715a4'!M46,e2a9b537c609!M46,f97457958ce9!M46,'281fcc7d7eae'!M46,'01454b1cfeba'!M46,'79287892b1d7'!M46,'1b3f96535b56'!M46),"")</f>
        <v>4.333333333333333</v>
      </c>
      <c r="R17" s="18">
        <f>IFERROR(AVERAGE('1ae03038ed69'!N46,'1572eb063e5c'!N46,b6ea66d78823!N46,'6d8dcb722ca4'!N46,'9306b30af184'!N46,'3b760aaeab13'!N46,b2f4402deaee!N46,'1c4d314e87cd'!N46,acd4708edfe6!N46,'9a32b1f50fb5'!N46,'2df562aa32e7'!N46,'3a5a3c04bd9d'!N46,'192241189337'!N46,'23a0423d7f40'!N46,'096252bb3796'!N46,a53d1c7f9645!N46,'283d32631463'!N46,'1a542cfbf2c5'!N46,cf262786a0e1!N46,'4b9efdeaeb40'!N46,'66fab14edc4c'!N46,d9a84a7879b5!N46,caf2b28627a3!N46,'602e9d1875d1'!N46,f168037f7f37!N46,eb071de1ab08!N46,'7b3bd85715a4'!N46,e2a9b537c609!N46,f97457958ce9!N46,'281fcc7d7eae'!N46,'01454b1cfeba'!N46,'79287892b1d7'!N46,'1b3f96535b56'!N46),"")</f>
        <v>3</v>
      </c>
      <c r="U17" t="s">
        <v>41</v>
      </c>
      <c r="V17" t="s">
        <v>42</v>
      </c>
    </row>
    <row r="18" spans="2:22" ht="15.75" customHeight="1">
      <c r="B18" s="87"/>
      <c r="C18" s="11"/>
      <c r="F18" s="16" t="str">
        <f>LEFT(Definitions!B20,25)&amp;"…"</f>
        <v>Safety and security…</v>
      </c>
      <c r="G18" s="17" t="str">
        <f>IFERROR(AVERAGE('1ae03038ed69'!C47,'1572eb063e5c'!C47,b6ea66d78823!C47,'6d8dcb722ca4'!C47,'9306b30af184'!C47,'3b760aaeab13'!C47,b2f4402deaee!C47,'1c4d314e87cd'!C47,acd4708edfe6!C47,'9a32b1f50fb5'!C47,'2df562aa32e7'!C47,'3a5a3c04bd9d'!C47,'192241189337'!C47,'23a0423d7f40'!C47,'096252bb3796'!C47,a53d1c7f9645!C47,'283d32631463'!C47,'1a542cfbf2c5'!C47,cf262786a0e1!C47,'4b9efdeaeb40'!C47,'66fab14edc4c'!C47,d9a84a7879b5!C47,caf2b28627a3!C47,'602e9d1875d1'!C47,f168037f7f37!C47,eb071de1ab08!C47,'7b3bd85715a4'!C47,e2a9b537c609!C47,f97457958ce9!C47,'281fcc7d7eae'!C47,'01454b1cfeba'!C47,'79287892b1d7'!C47,'1b3f96535b56'!C47),"")</f>
        <v/>
      </c>
      <c r="H18" s="17" t="str">
        <f>IFERROR(AVERAGE('1ae03038ed69'!D47,'1572eb063e5c'!D47,b6ea66d78823!D47,'6d8dcb722ca4'!D47,'9306b30af184'!D47,'3b760aaeab13'!D47,b2f4402deaee!D47,'1c4d314e87cd'!D47,acd4708edfe6!D47,'9a32b1f50fb5'!D47,'2df562aa32e7'!D47,'3a5a3c04bd9d'!D47,'192241189337'!D47,'23a0423d7f40'!D47,'096252bb3796'!D47,a53d1c7f9645!D47,'283d32631463'!D47,'1a542cfbf2c5'!D47,cf262786a0e1!D47,'4b9efdeaeb40'!D47,'66fab14edc4c'!D47,d9a84a7879b5!D47,caf2b28627a3!D47,'602e9d1875d1'!D47,f168037f7f37!D47,eb071de1ab08!D47,'7b3bd85715a4'!D47,e2a9b537c609!D47,f97457958ce9!D47,'281fcc7d7eae'!D47,'01454b1cfeba'!D47,'79287892b1d7'!D47,'1b3f96535b56'!D47),"")</f>
        <v/>
      </c>
      <c r="I18" s="18" t="str">
        <f>IFERROR(AVERAGE('1ae03038ed69'!E47,'1572eb063e5c'!E47,b6ea66d78823!E47,'6d8dcb722ca4'!E47,'9306b30af184'!E47,'3b760aaeab13'!E47,b2f4402deaee!E47,'1c4d314e87cd'!E47,acd4708edfe6!E47,'9a32b1f50fb5'!E47,'2df562aa32e7'!E47,'3a5a3c04bd9d'!E47,'192241189337'!E47,'23a0423d7f40'!E47,'096252bb3796'!E47,a53d1c7f9645!E47,'283d32631463'!E47,'1a542cfbf2c5'!E47,cf262786a0e1!E47,'4b9efdeaeb40'!E47,'66fab14edc4c'!E47,d9a84a7879b5!E47,caf2b28627a3!E47,'602e9d1875d1'!E47,f168037f7f37!E47,eb071de1ab08!E47,'7b3bd85715a4'!E47,e2a9b537c609!E47,f97457958ce9!E47,'281fcc7d7eae'!E47,'01454b1cfeba'!E47,'79287892b1d7'!E47,'1b3f96535b56'!E47),"")</f>
        <v/>
      </c>
      <c r="J18" s="18" t="str">
        <f>IFERROR(AVERAGE('1ae03038ed69'!F47,'1572eb063e5c'!F47,b6ea66d78823!F47,'6d8dcb722ca4'!F47,'9306b30af184'!F47,'3b760aaeab13'!F47,b2f4402deaee!F47,'1c4d314e87cd'!F47,acd4708edfe6!F47,'9a32b1f50fb5'!F47,'2df562aa32e7'!F47,'3a5a3c04bd9d'!F47,'192241189337'!F47,'23a0423d7f40'!F47,'096252bb3796'!F47,a53d1c7f9645!F47,'283d32631463'!F47,'1a542cfbf2c5'!F47,cf262786a0e1!F47,'4b9efdeaeb40'!F47,'66fab14edc4c'!F47,d9a84a7879b5!F47,caf2b28627a3!F47,'602e9d1875d1'!F47,f168037f7f37!F47,eb071de1ab08!F47,'7b3bd85715a4'!F47,e2a9b537c609!F47,f97457958ce9!F47,'281fcc7d7eae'!F47,'01454b1cfeba'!F47,'79287892b1d7'!F47,'1b3f96535b56'!F47),"")</f>
        <v/>
      </c>
      <c r="K18" s="17">
        <f>IFERROR(AVERAGE('1ae03038ed69'!G47,'1572eb063e5c'!G47,b6ea66d78823!G47,'6d8dcb722ca4'!G47,'9306b30af184'!G47,'3b760aaeab13'!G47,b2f4402deaee!G47,'1c4d314e87cd'!G47,acd4708edfe6!G47,'9a32b1f50fb5'!G47,'2df562aa32e7'!G47,'3a5a3c04bd9d'!G47,'192241189337'!G47,'23a0423d7f40'!G47,'096252bb3796'!G47,a53d1c7f9645!G47,'283d32631463'!G47,'1a542cfbf2c5'!G47,cf262786a0e1!G47,'4b9efdeaeb40'!G47,'66fab14edc4c'!G47,d9a84a7879b5!G47,caf2b28627a3!G47,'602e9d1875d1'!G47,f168037f7f37!G47,eb071de1ab08!G47,'7b3bd85715a4'!G47,e2a9b537c609!G47,f97457958ce9!G47,'281fcc7d7eae'!G47,'01454b1cfeba'!G47,'79287892b1d7'!G47,'1b3f96535b56'!G47),"")</f>
        <v>3</v>
      </c>
      <c r="L18" s="17">
        <f>IFERROR(AVERAGE('1ae03038ed69'!H47,'1572eb063e5c'!H47,b6ea66d78823!H47,'6d8dcb722ca4'!H47,'9306b30af184'!H47,'3b760aaeab13'!H47,b2f4402deaee!H47,'1c4d314e87cd'!H47,acd4708edfe6!H47,'9a32b1f50fb5'!H47,'2df562aa32e7'!H47,'3a5a3c04bd9d'!H47,'192241189337'!H47,'23a0423d7f40'!H47,'096252bb3796'!H47,a53d1c7f9645!H47,'283d32631463'!H47,'1a542cfbf2c5'!H47,cf262786a0e1!H47,'4b9efdeaeb40'!H47,'66fab14edc4c'!H47,d9a84a7879b5!H47,caf2b28627a3!H47,'602e9d1875d1'!H47,f168037f7f37!H47,eb071de1ab08!H47,'7b3bd85715a4'!H47,e2a9b537c609!H47,f97457958ce9!H47,'281fcc7d7eae'!H47,'01454b1cfeba'!H47,'79287892b1d7'!H47,'1b3f96535b56'!H47),"")</f>
        <v>3</v>
      </c>
      <c r="M18" s="18" t="str">
        <f>IFERROR(AVERAGE('1ae03038ed69'!I47,'1572eb063e5c'!I47,b6ea66d78823!I47,'6d8dcb722ca4'!I47,'9306b30af184'!I47,'3b760aaeab13'!I47,b2f4402deaee!I47,'1c4d314e87cd'!I47,acd4708edfe6!I47,'9a32b1f50fb5'!I47,'2df562aa32e7'!I47,'3a5a3c04bd9d'!I47,'192241189337'!I47,'23a0423d7f40'!I47,'096252bb3796'!I47,a53d1c7f9645!I47,'283d32631463'!I47,'1a542cfbf2c5'!I47,cf262786a0e1!I47,'4b9efdeaeb40'!I47,'66fab14edc4c'!I47,d9a84a7879b5!I47,caf2b28627a3!I47,'602e9d1875d1'!I47,f168037f7f37!I47,eb071de1ab08!I47,'7b3bd85715a4'!I47,e2a9b537c609!I47,f97457958ce9!I47,'281fcc7d7eae'!I47,'01454b1cfeba'!I47,'79287892b1d7'!I47,'1b3f96535b56'!I47),"")</f>
        <v/>
      </c>
      <c r="N18" s="18" t="str">
        <f>IFERROR(AVERAGE('1ae03038ed69'!J47,'1572eb063e5c'!J47,b6ea66d78823!J47,'6d8dcb722ca4'!J47,'9306b30af184'!J47,'3b760aaeab13'!J47,b2f4402deaee!J47,'1c4d314e87cd'!J47,acd4708edfe6!J47,'9a32b1f50fb5'!J47,'2df562aa32e7'!J47,'3a5a3c04bd9d'!J47,'192241189337'!J47,'23a0423d7f40'!J47,'096252bb3796'!J47,a53d1c7f9645!J47,'283d32631463'!J47,'1a542cfbf2c5'!J47,cf262786a0e1!J47,'4b9efdeaeb40'!J47,'66fab14edc4c'!J47,d9a84a7879b5!J47,caf2b28627a3!J47,'602e9d1875d1'!J47,f168037f7f37!J47,eb071de1ab08!J47,'7b3bd85715a4'!J47,e2a9b537c609!J47,f97457958ce9!J47,'281fcc7d7eae'!J47,'01454b1cfeba'!J47,'79287892b1d7'!J47,'1b3f96535b56'!J47),"")</f>
        <v/>
      </c>
      <c r="O18" s="17">
        <f>IFERROR(AVERAGE('1ae03038ed69'!K47,'1572eb063e5c'!K47,b6ea66d78823!K47,'6d8dcb722ca4'!K47,'9306b30af184'!K47,'3b760aaeab13'!K47,b2f4402deaee!K47,'1c4d314e87cd'!K47,acd4708edfe6!K47,'9a32b1f50fb5'!K47,'2df562aa32e7'!K47,'3a5a3c04bd9d'!K47,'192241189337'!K47,'23a0423d7f40'!K47,'096252bb3796'!K47,a53d1c7f9645!K47,'283d32631463'!K47,'1a542cfbf2c5'!K47,cf262786a0e1!K47,'4b9efdeaeb40'!K47,'66fab14edc4c'!K47,d9a84a7879b5!K47,caf2b28627a3!K47,'602e9d1875d1'!K47,f168037f7f37!K47,eb071de1ab08!K47,'7b3bd85715a4'!K47,e2a9b537c609!K47,f97457958ce9!K47,'281fcc7d7eae'!K47,'01454b1cfeba'!K47,'79287892b1d7'!K47,'1b3f96535b56'!K47),"")</f>
        <v>3</v>
      </c>
      <c r="P18" s="17" t="str">
        <f>IFERROR(AVERAGE('1ae03038ed69'!L47,'1572eb063e5c'!L47,b6ea66d78823!L47,'6d8dcb722ca4'!L47,'9306b30af184'!L47,'3b760aaeab13'!L47,b2f4402deaee!L47,'1c4d314e87cd'!L47,acd4708edfe6!L47,'9a32b1f50fb5'!L47,'2df562aa32e7'!L47,'3a5a3c04bd9d'!L47,'192241189337'!L47,'23a0423d7f40'!L47,'096252bb3796'!L47,a53d1c7f9645!L47,'283d32631463'!L47,'1a542cfbf2c5'!L47,cf262786a0e1!L47,'4b9efdeaeb40'!L47,'66fab14edc4c'!L47,d9a84a7879b5!L47,caf2b28627a3!L47,'602e9d1875d1'!L47,f168037f7f37!L47,eb071de1ab08!L47,'7b3bd85715a4'!L47,e2a9b537c609!L47,f97457958ce9!L47,'281fcc7d7eae'!L47,'01454b1cfeba'!L47,'79287892b1d7'!L47,'1b3f96535b56'!L47),"")</f>
        <v/>
      </c>
      <c r="Q18" s="18" t="str">
        <f>IFERROR(AVERAGE('1ae03038ed69'!M47,'1572eb063e5c'!M47,b6ea66d78823!M47,'6d8dcb722ca4'!M47,'9306b30af184'!M47,'3b760aaeab13'!M47,b2f4402deaee!M47,'1c4d314e87cd'!M47,acd4708edfe6!M47,'9a32b1f50fb5'!M47,'2df562aa32e7'!M47,'3a5a3c04bd9d'!M47,'192241189337'!M47,'23a0423d7f40'!M47,'096252bb3796'!M47,a53d1c7f9645!M47,'283d32631463'!M47,'1a542cfbf2c5'!M47,cf262786a0e1!M47,'4b9efdeaeb40'!M47,'66fab14edc4c'!M47,d9a84a7879b5!M47,caf2b28627a3!M47,'602e9d1875d1'!M47,f168037f7f37!M47,eb071de1ab08!M47,'7b3bd85715a4'!M47,e2a9b537c609!M47,f97457958ce9!M47,'281fcc7d7eae'!M47,'01454b1cfeba'!M47,'79287892b1d7'!M47,'1b3f96535b56'!M47),"")</f>
        <v/>
      </c>
      <c r="R18" s="18" t="str">
        <f>IFERROR(AVERAGE('1ae03038ed69'!N47,'1572eb063e5c'!N47,b6ea66d78823!N47,'6d8dcb722ca4'!N47,'9306b30af184'!N47,'3b760aaeab13'!N47,b2f4402deaee!N47,'1c4d314e87cd'!N47,acd4708edfe6!N47,'9a32b1f50fb5'!N47,'2df562aa32e7'!N47,'3a5a3c04bd9d'!N47,'192241189337'!N47,'23a0423d7f40'!N47,'096252bb3796'!N47,a53d1c7f9645!N47,'283d32631463'!N47,'1a542cfbf2c5'!N47,cf262786a0e1!N47,'4b9efdeaeb40'!N47,'66fab14edc4c'!N47,d9a84a7879b5!N47,caf2b28627a3!N47,'602e9d1875d1'!N47,f168037f7f37!N47,eb071de1ab08!N47,'7b3bd85715a4'!N47,e2a9b537c609!N47,f97457958ce9!N47,'281fcc7d7eae'!N47,'01454b1cfeba'!N47,'79287892b1d7'!N47,'1b3f96535b56'!N47),"")</f>
        <v/>
      </c>
      <c r="U18" t="s">
        <v>43</v>
      </c>
      <c r="V18" t="s">
        <v>44</v>
      </c>
    </row>
    <row r="19" spans="2:22" ht="15.75" customHeight="1">
      <c r="B19" s="20"/>
      <c r="C19" s="9"/>
      <c r="F19" s="16" t="str">
        <f>LEFT(Definitions!B21,25)&amp;"…"</f>
        <v>Biodiversity and ecosyste…</v>
      </c>
      <c r="G19" s="17" t="str">
        <f>IFERROR(AVERAGE('1ae03038ed69'!C48,'1572eb063e5c'!C48,b6ea66d78823!C48,'6d8dcb722ca4'!C48,'9306b30af184'!C48,'3b760aaeab13'!C48,b2f4402deaee!C48,'1c4d314e87cd'!C48,acd4708edfe6!C48,'9a32b1f50fb5'!C48,'2df562aa32e7'!C48,'3a5a3c04bd9d'!C48,'192241189337'!C48,'23a0423d7f40'!C48,'096252bb3796'!C48,a53d1c7f9645!C48,'283d32631463'!C48,'1a542cfbf2c5'!C48,cf262786a0e1!C48,'4b9efdeaeb40'!C48,'66fab14edc4c'!C48,d9a84a7879b5!C48,caf2b28627a3!C48,'602e9d1875d1'!C48,f168037f7f37!C48,eb071de1ab08!C48,'7b3bd85715a4'!C48,e2a9b537c609!C48,f97457958ce9!C48,'281fcc7d7eae'!C48,'01454b1cfeba'!C48,'79287892b1d7'!C48,'1b3f96535b56'!C48),"")</f>
        <v/>
      </c>
      <c r="H19" s="17" t="str">
        <f>IFERROR(AVERAGE('1ae03038ed69'!D48,'1572eb063e5c'!D48,b6ea66d78823!D48,'6d8dcb722ca4'!D48,'9306b30af184'!D48,'3b760aaeab13'!D48,b2f4402deaee!D48,'1c4d314e87cd'!D48,acd4708edfe6!D48,'9a32b1f50fb5'!D48,'2df562aa32e7'!D48,'3a5a3c04bd9d'!D48,'192241189337'!D48,'23a0423d7f40'!D48,'096252bb3796'!D48,a53d1c7f9645!D48,'283d32631463'!D48,'1a542cfbf2c5'!D48,cf262786a0e1!D48,'4b9efdeaeb40'!D48,'66fab14edc4c'!D48,d9a84a7879b5!D48,caf2b28627a3!D48,'602e9d1875d1'!D48,f168037f7f37!D48,eb071de1ab08!D48,'7b3bd85715a4'!D48,e2a9b537c609!D48,f97457958ce9!D48,'281fcc7d7eae'!D48,'01454b1cfeba'!D48,'79287892b1d7'!D48,'1b3f96535b56'!D48),"")</f>
        <v/>
      </c>
      <c r="I19" s="18">
        <f>IFERROR(AVERAGE('1ae03038ed69'!E48,'1572eb063e5c'!E48,b6ea66d78823!E48,'6d8dcb722ca4'!E48,'9306b30af184'!E48,'3b760aaeab13'!E48,b2f4402deaee!E48,'1c4d314e87cd'!E48,acd4708edfe6!E48,'9a32b1f50fb5'!E48,'2df562aa32e7'!E48,'3a5a3c04bd9d'!E48,'192241189337'!E48,'23a0423d7f40'!E48,'096252bb3796'!E48,a53d1c7f9645!E48,'283d32631463'!E48,'1a542cfbf2c5'!E48,cf262786a0e1!E48,'4b9efdeaeb40'!E48,'66fab14edc4c'!E48,d9a84a7879b5!E48,caf2b28627a3!E48,'602e9d1875d1'!E48,f168037f7f37!E48,eb071de1ab08!E48,'7b3bd85715a4'!E48,e2a9b537c609!E48,f97457958ce9!E48,'281fcc7d7eae'!E48,'01454b1cfeba'!E48,'79287892b1d7'!E48,'1b3f96535b56'!E48),"")</f>
        <v>3.4444444444444446</v>
      </c>
      <c r="J19" s="18" t="str">
        <f>IFERROR(AVERAGE('1ae03038ed69'!F48,'1572eb063e5c'!F48,b6ea66d78823!F48,'6d8dcb722ca4'!F48,'9306b30af184'!F48,'3b760aaeab13'!F48,b2f4402deaee!F48,'1c4d314e87cd'!F48,acd4708edfe6!F48,'9a32b1f50fb5'!F48,'2df562aa32e7'!F48,'3a5a3c04bd9d'!F48,'192241189337'!F48,'23a0423d7f40'!F48,'096252bb3796'!F48,a53d1c7f9645!F48,'283d32631463'!F48,'1a542cfbf2c5'!F48,cf262786a0e1!F48,'4b9efdeaeb40'!F48,'66fab14edc4c'!F48,d9a84a7879b5!F48,caf2b28627a3!F48,'602e9d1875d1'!F48,f168037f7f37!F48,eb071de1ab08!F48,'7b3bd85715a4'!F48,e2a9b537c609!F48,f97457958ce9!F48,'281fcc7d7eae'!F48,'01454b1cfeba'!F48,'79287892b1d7'!F48,'1b3f96535b56'!F48),"")</f>
        <v/>
      </c>
      <c r="K19" s="17">
        <f>IFERROR(AVERAGE('1ae03038ed69'!G48,'1572eb063e5c'!G48,b6ea66d78823!G48,'6d8dcb722ca4'!G48,'9306b30af184'!G48,'3b760aaeab13'!G48,b2f4402deaee!G48,'1c4d314e87cd'!G48,acd4708edfe6!G48,'9a32b1f50fb5'!G48,'2df562aa32e7'!G48,'3a5a3c04bd9d'!G48,'192241189337'!G48,'23a0423d7f40'!G48,'096252bb3796'!G48,a53d1c7f9645!G48,'283d32631463'!G48,'1a542cfbf2c5'!G48,cf262786a0e1!G48,'4b9efdeaeb40'!G48,'66fab14edc4c'!G48,d9a84a7879b5!G48,caf2b28627a3!G48,'602e9d1875d1'!G48,f168037f7f37!G48,eb071de1ab08!G48,'7b3bd85715a4'!G48,e2a9b537c609!G48,f97457958ce9!G48,'281fcc7d7eae'!G48,'01454b1cfeba'!G48,'79287892b1d7'!G48,'1b3f96535b56'!G48),"")</f>
        <v>3</v>
      </c>
      <c r="L19" s="17">
        <f>IFERROR(AVERAGE('1ae03038ed69'!H48,'1572eb063e5c'!H48,b6ea66d78823!H48,'6d8dcb722ca4'!H48,'9306b30af184'!H48,'3b760aaeab13'!H48,b2f4402deaee!H48,'1c4d314e87cd'!H48,acd4708edfe6!H48,'9a32b1f50fb5'!H48,'2df562aa32e7'!H48,'3a5a3c04bd9d'!H48,'192241189337'!H48,'23a0423d7f40'!H48,'096252bb3796'!H48,a53d1c7f9645!H48,'283d32631463'!H48,'1a542cfbf2c5'!H48,cf262786a0e1!H48,'4b9efdeaeb40'!H48,'66fab14edc4c'!H48,d9a84a7879b5!H48,caf2b28627a3!H48,'602e9d1875d1'!H48,f168037f7f37!H48,eb071de1ab08!H48,'7b3bd85715a4'!H48,e2a9b537c609!H48,f97457958ce9!H48,'281fcc7d7eae'!H48,'01454b1cfeba'!H48,'79287892b1d7'!H48,'1b3f96535b56'!H48),"")</f>
        <v>3</v>
      </c>
      <c r="M19" s="18">
        <f>IFERROR(AVERAGE('1ae03038ed69'!I48,'1572eb063e5c'!I48,b6ea66d78823!I48,'6d8dcb722ca4'!I48,'9306b30af184'!I48,'3b760aaeab13'!I48,b2f4402deaee!I48,'1c4d314e87cd'!I48,acd4708edfe6!I48,'9a32b1f50fb5'!I48,'2df562aa32e7'!I48,'3a5a3c04bd9d'!I48,'192241189337'!I48,'23a0423d7f40'!I48,'096252bb3796'!I48,a53d1c7f9645!I48,'283d32631463'!I48,'1a542cfbf2c5'!I48,cf262786a0e1!I48,'4b9efdeaeb40'!I48,'66fab14edc4c'!I48,d9a84a7879b5!I48,caf2b28627a3!I48,'602e9d1875d1'!I48,f168037f7f37!I48,eb071de1ab08!I48,'7b3bd85715a4'!I48,e2a9b537c609!I48,f97457958ce9!I48,'281fcc7d7eae'!I48,'01454b1cfeba'!I48,'79287892b1d7'!I48,'1b3f96535b56'!I48),"")</f>
        <v>3</v>
      </c>
      <c r="N19" s="18">
        <f>IFERROR(AVERAGE('1ae03038ed69'!J48,'1572eb063e5c'!J48,b6ea66d78823!J48,'6d8dcb722ca4'!J48,'9306b30af184'!J48,'3b760aaeab13'!J48,b2f4402deaee!J48,'1c4d314e87cd'!J48,acd4708edfe6!J48,'9a32b1f50fb5'!J48,'2df562aa32e7'!J48,'3a5a3c04bd9d'!J48,'192241189337'!J48,'23a0423d7f40'!J48,'096252bb3796'!J48,a53d1c7f9645!J48,'283d32631463'!J48,'1a542cfbf2c5'!J48,cf262786a0e1!J48,'4b9efdeaeb40'!J48,'66fab14edc4c'!J48,d9a84a7879b5!J48,caf2b28627a3!J48,'602e9d1875d1'!J48,f168037f7f37!J48,eb071de1ab08!J48,'7b3bd85715a4'!J48,e2a9b537c609!J48,f97457958ce9!J48,'281fcc7d7eae'!J48,'01454b1cfeba'!J48,'79287892b1d7'!J48,'1b3f96535b56'!J48),"")</f>
        <v>3</v>
      </c>
      <c r="O19" s="17" t="str">
        <f>IFERROR(AVERAGE('1ae03038ed69'!K48,'1572eb063e5c'!K48,b6ea66d78823!K48,'6d8dcb722ca4'!K48,'9306b30af184'!K48,'3b760aaeab13'!K48,b2f4402deaee!K48,'1c4d314e87cd'!K48,acd4708edfe6!K48,'9a32b1f50fb5'!K48,'2df562aa32e7'!K48,'3a5a3c04bd9d'!K48,'192241189337'!K48,'23a0423d7f40'!K48,'096252bb3796'!K48,a53d1c7f9645!K48,'283d32631463'!K48,'1a542cfbf2c5'!K48,cf262786a0e1!K48,'4b9efdeaeb40'!K48,'66fab14edc4c'!K48,d9a84a7879b5!K48,caf2b28627a3!K48,'602e9d1875d1'!K48,f168037f7f37!K48,eb071de1ab08!K48,'7b3bd85715a4'!K48,e2a9b537c609!K48,f97457958ce9!K48,'281fcc7d7eae'!K48,'01454b1cfeba'!K48,'79287892b1d7'!K48,'1b3f96535b56'!K48),"")</f>
        <v/>
      </c>
      <c r="P19" s="17" t="str">
        <f>IFERROR(AVERAGE('1ae03038ed69'!L48,'1572eb063e5c'!L48,b6ea66d78823!L48,'6d8dcb722ca4'!L48,'9306b30af184'!L48,'3b760aaeab13'!L48,b2f4402deaee!L48,'1c4d314e87cd'!L48,acd4708edfe6!L48,'9a32b1f50fb5'!L48,'2df562aa32e7'!L48,'3a5a3c04bd9d'!L48,'192241189337'!L48,'23a0423d7f40'!L48,'096252bb3796'!L48,a53d1c7f9645!L48,'283d32631463'!L48,'1a542cfbf2c5'!L48,cf262786a0e1!L48,'4b9efdeaeb40'!L48,'66fab14edc4c'!L48,d9a84a7879b5!L48,caf2b28627a3!L48,'602e9d1875d1'!L48,f168037f7f37!L48,eb071de1ab08!L48,'7b3bd85715a4'!L48,e2a9b537c609!L48,f97457958ce9!L48,'281fcc7d7eae'!L48,'01454b1cfeba'!L48,'79287892b1d7'!L48,'1b3f96535b56'!L48),"")</f>
        <v/>
      </c>
      <c r="Q19" s="18">
        <f>IFERROR(AVERAGE('1ae03038ed69'!M48,'1572eb063e5c'!M48,b6ea66d78823!M48,'6d8dcb722ca4'!M48,'9306b30af184'!M48,'3b760aaeab13'!M48,b2f4402deaee!M48,'1c4d314e87cd'!M48,acd4708edfe6!M48,'9a32b1f50fb5'!M48,'2df562aa32e7'!M48,'3a5a3c04bd9d'!M48,'192241189337'!M48,'23a0423d7f40'!M48,'096252bb3796'!M48,a53d1c7f9645!M48,'283d32631463'!M48,'1a542cfbf2c5'!M48,cf262786a0e1!M48,'4b9efdeaeb40'!M48,'66fab14edc4c'!M48,d9a84a7879b5!M48,caf2b28627a3!M48,'602e9d1875d1'!M48,f168037f7f37!M48,eb071de1ab08!M48,'7b3bd85715a4'!M48,e2a9b537c609!M48,f97457958ce9!M48,'281fcc7d7eae'!M48,'01454b1cfeba'!M48,'79287892b1d7'!M48,'1b3f96535b56'!M48),"")</f>
        <v>2</v>
      </c>
      <c r="R19" s="18" t="str">
        <f>IFERROR(AVERAGE('1ae03038ed69'!N48,'1572eb063e5c'!N48,b6ea66d78823!N48,'6d8dcb722ca4'!N48,'9306b30af184'!N48,'3b760aaeab13'!N48,b2f4402deaee!N48,'1c4d314e87cd'!N48,acd4708edfe6!N48,'9a32b1f50fb5'!N48,'2df562aa32e7'!N48,'3a5a3c04bd9d'!N48,'192241189337'!N48,'23a0423d7f40'!N48,'096252bb3796'!N48,a53d1c7f9645!N48,'283d32631463'!N48,'1a542cfbf2c5'!N48,cf262786a0e1!N48,'4b9efdeaeb40'!N48,'66fab14edc4c'!N48,d9a84a7879b5!N48,caf2b28627a3!N48,'602e9d1875d1'!N48,f168037f7f37!N48,eb071de1ab08!N48,'7b3bd85715a4'!N48,e2a9b537c609!N48,f97457958ce9!N48,'281fcc7d7eae'!N48,'01454b1cfeba'!N48,'79287892b1d7'!N48,'1b3f96535b56'!N48),"")</f>
        <v/>
      </c>
      <c r="U19" t="s">
        <v>45</v>
      </c>
      <c r="V19" t="s">
        <v>46</v>
      </c>
    </row>
    <row r="20" spans="2:22" ht="15.75" customHeight="1">
      <c r="B20" s="57" t="s">
        <v>47</v>
      </c>
      <c r="C20" s="11"/>
      <c r="F20" s="16" t="str">
        <f>LEFT(Definitions!B22,25)&amp;"…"</f>
        <v>Community smart infrastru…</v>
      </c>
      <c r="G20" s="17">
        <f>IFERROR(AVERAGE('1ae03038ed69'!C49,'1572eb063e5c'!C49,b6ea66d78823!C49,'6d8dcb722ca4'!C49,'9306b30af184'!C49,'3b760aaeab13'!C49,b2f4402deaee!C49,'1c4d314e87cd'!C49,acd4708edfe6!C49,'9a32b1f50fb5'!C49,'2df562aa32e7'!C49,'3a5a3c04bd9d'!C49,'192241189337'!C49,'23a0423d7f40'!C49,'096252bb3796'!C49,a53d1c7f9645!C49,'283d32631463'!C49,'1a542cfbf2c5'!C49,cf262786a0e1!C49,'4b9efdeaeb40'!C49,'66fab14edc4c'!C49,d9a84a7879b5!C49,caf2b28627a3!C49,'602e9d1875d1'!C49,f168037f7f37!C49,eb071de1ab08!C49,'7b3bd85715a4'!C49,e2a9b537c609!C49,f97457958ce9!C49,'281fcc7d7eae'!C49,'01454b1cfeba'!C49,'79287892b1d7'!C49,'1b3f96535b56'!C49),"")</f>
        <v>2.8</v>
      </c>
      <c r="H20" s="17">
        <f>IFERROR(AVERAGE('1ae03038ed69'!D49,'1572eb063e5c'!D49,b6ea66d78823!D49,'6d8dcb722ca4'!D49,'9306b30af184'!D49,'3b760aaeab13'!D49,b2f4402deaee!D49,'1c4d314e87cd'!D49,acd4708edfe6!D49,'9a32b1f50fb5'!D49,'2df562aa32e7'!D49,'3a5a3c04bd9d'!D49,'192241189337'!D49,'23a0423d7f40'!D49,'096252bb3796'!D49,a53d1c7f9645!D49,'283d32631463'!D49,'1a542cfbf2c5'!D49,cf262786a0e1!D49,'4b9efdeaeb40'!D49,'66fab14edc4c'!D49,d9a84a7879b5!D49,caf2b28627a3!D49,'602e9d1875d1'!D49,f168037f7f37!D49,eb071de1ab08!D49,'7b3bd85715a4'!D49,e2a9b537c609!D49,f97457958ce9!D49,'281fcc7d7eae'!D49,'01454b1cfeba'!D49,'79287892b1d7'!D49,'1b3f96535b56'!D49),"")</f>
        <v>3</v>
      </c>
      <c r="I20" s="18" t="str">
        <f>IFERROR(AVERAGE('1ae03038ed69'!E49,'1572eb063e5c'!E49,b6ea66d78823!E49,'6d8dcb722ca4'!E49,'9306b30af184'!E49,'3b760aaeab13'!E49,b2f4402deaee!E49,'1c4d314e87cd'!E49,acd4708edfe6!E49,'9a32b1f50fb5'!E49,'2df562aa32e7'!E49,'3a5a3c04bd9d'!E49,'192241189337'!E49,'23a0423d7f40'!E49,'096252bb3796'!E49,a53d1c7f9645!E49,'283d32631463'!E49,'1a542cfbf2c5'!E49,cf262786a0e1!E49,'4b9efdeaeb40'!E49,'66fab14edc4c'!E49,d9a84a7879b5!E49,caf2b28627a3!E49,'602e9d1875d1'!E49,f168037f7f37!E49,eb071de1ab08!E49,'7b3bd85715a4'!E49,e2a9b537c609!E49,f97457958ce9!E49,'281fcc7d7eae'!E49,'01454b1cfeba'!E49,'79287892b1d7'!E49,'1b3f96535b56'!E49),"")</f>
        <v/>
      </c>
      <c r="J20" s="18" t="str">
        <f>IFERROR(AVERAGE('1ae03038ed69'!F49,'1572eb063e5c'!F49,b6ea66d78823!F49,'6d8dcb722ca4'!F49,'9306b30af184'!F49,'3b760aaeab13'!F49,b2f4402deaee!F49,'1c4d314e87cd'!F49,acd4708edfe6!F49,'9a32b1f50fb5'!F49,'2df562aa32e7'!F49,'3a5a3c04bd9d'!F49,'192241189337'!F49,'23a0423d7f40'!F49,'096252bb3796'!F49,a53d1c7f9645!F49,'283d32631463'!F49,'1a542cfbf2c5'!F49,cf262786a0e1!F49,'4b9efdeaeb40'!F49,'66fab14edc4c'!F49,d9a84a7879b5!F49,caf2b28627a3!F49,'602e9d1875d1'!F49,f168037f7f37!F49,eb071de1ab08!F49,'7b3bd85715a4'!F49,e2a9b537c609!F49,f97457958ce9!F49,'281fcc7d7eae'!F49,'01454b1cfeba'!F49,'79287892b1d7'!F49,'1b3f96535b56'!F49),"")</f>
        <v/>
      </c>
      <c r="K20" s="17">
        <f>IFERROR(AVERAGE('1ae03038ed69'!G49,'1572eb063e5c'!G49,b6ea66d78823!G49,'6d8dcb722ca4'!G49,'9306b30af184'!G49,'3b760aaeab13'!G49,b2f4402deaee!G49,'1c4d314e87cd'!G49,acd4708edfe6!G49,'9a32b1f50fb5'!G49,'2df562aa32e7'!G49,'3a5a3c04bd9d'!G49,'192241189337'!G49,'23a0423d7f40'!G49,'096252bb3796'!G49,a53d1c7f9645!G49,'283d32631463'!G49,'1a542cfbf2c5'!G49,cf262786a0e1!G49,'4b9efdeaeb40'!G49,'66fab14edc4c'!G49,d9a84a7879b5!G49,caf2b28627a3!G49,'602e9d1875d1'!G49,f168037f7f37!G49,eb071de1ab08!G49,'7b3bd85715a4'!G49,e2a9b537c609!G49,f97457958ce9!G49,'281fcc7d7eae'!G49,'01454b1cfeba'!G49,'79287892b1d7'!G49,'1b3f96535b56'!G49),"")</f>
        <v>2.75</v>
      </c>
      <c r="L20" s="17" t="str">
        <f>IFERROR(AVERAGE('1ae03038ed69'!H49,'1572eb063e5c'!H49,b6ea66d78823!H49,'6d8dcb722ca4'!H49,'9306b30af184'!H49,'3b760aaeab13'!H49,b2f4402deaee!H49,'1c4d314e87cd'!H49,acd4708edfe6!H49,'9a32b1f50fb5'!H49,'2df562aa32e7'!H49,'3a5a3c04bd9d'!H49,'192241189337'!H49,'23a0423d7f40'!H49,'096252bb3796'!H49,a53d1c7f9645!H49,'283d32631463'!H49,'1a542cfbf2c5'!H49,cf262786a0e1!H49,'4b9efdeaeb40'!H49,'66fab14edc4c'!H49,d9a84a7879b5!H49,caf2b28627a3!H49,'602e9d1875d1'!H49,f168037f7f37!H49,eb071de1ab08!H49,'7b3bd85715a4'!H49,e2a9b537c609!H49,f97457958ce9!H49,'281fcc7d7eae'!H49,'01454b1cfeba'!H49,'79287892b1d7'!H49,'1b3f96535b56'!H49),"")</f>
        <v/>
      </c>
      <c r="M20" s="18">
        <f>IFERROR(AVERAGE('1ae03038ed69'!I49,'1572eb063e5c'!I49,b6ea66d78823!I49,'6d8dcb722ca4'!I49,'9306b30af184'!I49,'3b760aaeab13'!I49,b2f4402deaee!I49,'1c4d314e87cd'!I49,acd4708edfe6!I49,'9a32b1f50fb5'!I49,'2df562aa32e7'!I49,'3a5a3c04bd9d'!I49,'192241189337'!I49,'23a0423d7f40'!I49,'096252bb3796'!I49,a53d1c7f9645!I49,'283d32631463'!I49,'1a542cfbf2c5'!I49,cf262786a0e1!I49,'4b9efdeaeb40'!I49,'66fab14edc4c'!I49,d9a84a7879b5!I49,caf2b28627a3!I49,'602e9d1875d1'!I49,f168037f7f37!I49,eb071de1ab08!I49,'7b3bd85715a4'!I49,e2a9b537c609!I49,f97457958ce9!I49,'281fcc7d7eae'!I49,'01454b1cfeba'!I49,'79287892b1d7'!I49,'1b3f96535b56'!I49),"")</f>
        <v>3.4047619047619051</v>
      </c>
      <c r="N20" s="18" t="str">
        <f>IFERROR(AVERAGE('1ae03038ed69'!J49,'1572eb063e5c'!J49,b6ea66d78823!J49,'6d8dcb722ca4'!J49,'9306b30af184'!J49,'3b760aaeab13'!J49,b2f4402deaee!J49,'1c4d314e87cd'!J49,acd4708edfe6!J49,'9a32b1f50fb5'!J49,'2df562aa32e7'!J49,'3a5a3c04bd9d'!J49,'192241189337'!J49,'23a0423d7f40'!J49,'096252bb3796'!J49,a53d1c7f9645!J49,'283d32631463'!J49,'1a542cfbf2c5'!J49,cf262786a0e1!J49,'4b9efdeaeb40'!J49,'66fab14edc4c'!J49,d9a84a7879b5!J49,caf2b28627a3!J49,'602e9d1875d1'!J49,f168037f7f37!J49,eb071de1ab08!J49,'7b3bd85715a4'!J49,e2a9b537c609!J49,f97457958ce9!J49,'281fcc7d7eae'!J49,'01454b1cfeba'!J49,'79287892b1d7'!J49,'1b3f96535b56'!J49),"")</f>
        <v/>
      </c>
      <c r="O20" s="17" t="str">
        <f>IFERROR(AVERAGE('1ae03038ed69'!K49,'1572eb063e5c'!K49,b6ea66d78823!K49,'6d8dcb722ca4'!K49,'9306b30af184'!K49,'3b760aaeab13'!K49,b2f4402deaee!K49,'1c4d314e87cd'!K49,acd4708edfe6!K49,'9a32b1f50fb5'!K49,'2df562aa32e7'!K49,'3a5a3c04bd9d'!K49,'192241189337'!K49,'23a0423d7f40'!K49,'096252bb3796'!K49,a53d1c7f9645!K49,'283d32631463'!K49,'1a542cfbf2c5'!K49,cf262786a0e1!K49,'4b9efdeaeb40'!K49,'66fab14edc4c'!K49,d9a84a7879b5!K49,caf2b28627a3!K49,'602e9d1875d1'!K49,f168037f7f37!K49,eb071de1ab08!K49,'7b3bd85715a4'!K49,e2a9b537c609!K49,f97457958ce9!K49,'281fcc7d7eae'!K49,'01454b1cfeba'!K49,'79287892b1d7'!K49,'1b3f96535b56'!K49),"")</f>
        <v/>
      </c>
      <c r="P20" s="17" t="str">
        <f>IFERROR(AVERAGE('1ae03038ed69'!L49,'1572eb063e5c'!L49,b6ea66d78823!L49,'6d8dcb722ca4'!L49,'9306b30af184'!L49,'3b760aaeab13'!L49,b2f4402deaee!L49,'1c4d314e87cd'!L49,acd4708edfe6!L49,'9a32b1f50fb5'!L49,'2df562aa32e7'!L49,'3a5a3c04bd9d'!L49,'192241189337'!L49,'23a0423d7f40'!L49,'096252bb3796'!L49,a53d1c7f9645!L49,'283d32631463'!L49,'1a542cfbf2c5'!L49,cf262786a0e1!L49,'4b9efdeaeb40'!L49,'66fab14edc4c'!L49,d9a84a7879b5!L49,caf2b28627a3!L49,'602e9d1875d1'!L49,f168037f7f37!L49,eb071de1ab08!L49,'7b3bd85715a4'!L49,e2a9b537c609!L49,f97457958ce9!L49,'281fcc7d7eae'!L49,'01454b1cfeba'!L49,'79287892b1d7'!L49,'1b3f96535b56'!L49),"")</f>
        <v/>
      </c>
      <c r="Q20" s="18" t="str">
        <f>IFERROR(AVERAGE('1ae03038ed69'!M49,'1572eb063e5c'!M49,b6ea66d78823!M49,'6d8dcb722ca4'!M49,'9306b30af184'!M49,'3b760aaeab13'!M49,b2f4402deaee!M49,'1c4d314e87cd'!M49,acd4708edfe6!M49,'9a32b1f50fb5'!M49,'2df562aa32e7'!M49,'3a5a3c04bd9d'!M49,'192241189337'!M49,'23a0423d7f40'!M49,'096252bb3796'!M49,a53d1c7f9645!M49,'283d32631463'!M49,'1a542cfbf2c5'!M49,cf262786a0e1!M49,'4b9efdeaeb40'!M49,'66fab14edc4c'!M49,d9a84a7879b5!M49,caf2b28627a3!M49,'602e9d1875d1'!M49,f168037f7f37!M49,eb071de1ab08!M49,'7b3bd85715a4'!M49,e2a9b537c609!M49,f97457958ce9!M49,'281fcc7d7eae'!M49,'01454b1cfeba'!M49,'79287892b1d7'!M49,'1b3f96535b56'!M49),"")</f>
        <v/>
      </c>
      <c r="R20" s="18" t="str">
        <f>IFERROR(AVERAGE('1ae03038ed69'!N49,'1572eb063e5c'!N49,b6ea66d78823!N49,'6d8dcb722ca4'!N49,'9306b30af184'!N49,'3b760aaeab13'!N49,b2f4402deaee!N49,'1c4d314e87cd'!N49,acd4708edfe6!N49,'9a32b1f50fb5'!N49,'2df562aa32e7'!N49,'3a5a3c04bd9d'!N49,'192241189337'!N49,'23a0423d7f40'!N49,'096252bb3796'!N49,a53d1c7f9645!N49,'283d32631463'!N49,'1a542cfbf2c5'!N49,cf262786a0e1!N49,'4b9efdeaeb40'!N49,'66fab14edc4c'!N49,d9a84a7879b5!N49,caf2b28627a3!N49,'602e9d1875d1'!N49,f168037f7f37!N49,eb071de1ab08!N49,'7b3bd85715a4'!N49,e2a9b537c609!N49,f97457958ce9!N49,'281fcc7d7eae'!N49,'01454b1cfeba'!N49,'79287892b1d7'!N49,'1b3f96535b56'!N49),"")</f>
        <v/>
      </c>
      <c r="U20" t="s">
        <v>48</v>
      </c>
      <c r="V20" t="s">
        <v>49</v>
      </c>
    </row>
    <row r="21" spans="2:22" ht="15.75" customHeight="1">
      <c r="B21" s="86"/>
      <c r="C21" s="11"/>
      <c r="F21" s="16" t="str">
        <f>LEFT(Definitions!B23,25)&amp;"…"</f>
        <v>Mobility…</v>
      </c>
      <c r="G21" s="17" t="str">
        <f>IFERROR(AVERAGE('1ae03038ed69'!C50,'1572eb063e5c'!C50,b6ea66d78823!C50,'6d8dcb722ca4'!C50,'9306b30af184'!C50,'3b760aaeab13'!C50,b2f4402deaee!C50,'1c4d314e87cd'!C50,acd4708edfe6!C50,'9a32b1f50fb5'!C50,'2df562aa32e7'!C50,'3a5a3c04bd9d'!C50,'192241189337'!C50,'23a0423d7f40'!C50,'096252bb3796'!C50,a53d1c7f9645!C50,'283d32631463'!C50,'1a542cfbf2c5'!C50,cf262786a0e1!C50,'4b9efdeaeb40'!C50,'66fab14edc4c'!C50,d9a84a7879b5!C50,caf2b28627a3!C50,'602e9d1875d1'!C50,f168037f7f37!C50,eb071de1ab08!C50,'7b3bd85715a4'!C50,e2a9b537c609!C50,f97457958ce9!C50,'281fcc7d7eae'!C50,'01454b1cfeba'!C50,'79287892b1d7'!C50,'1b3f96535b56'!C50),"")</f>
        <v/>
      </c>
      <c r="H21" s="17" t="str">
        <f>IFERROR(AVERAGE('1ae03038ed69'!D50,'1572eb063e5c'!D50,b6ea66d78823!D50,'6d8dcb722ca4'!D50,'9306b30af184'!D50,'3b760aaeab13'!D50,b2f4402deaee!D50,'1c4d314e87cd'!D50,acd4708edfe6!D50,'9a32b1f50fb5'!D50,'2df562aa32e7'!D50,'3a5a3c04bd9d'!D50,'192241189337'!D50,'23a0423d7f40'!D50,'096252bb3796'!D50,a53d1c7f9645!D50,'283d32631463'!D50,'1a542cfbf2c5'!D50,cf262786a0e1!D50,'4b9efdeaeb40'!D50,'66fab14edc4c'!D50,d9a84a7879b5!D50,caf2b28627a3!D50,'602e9d1875d1'!D50,f168037f7f37!D50,eb071de1ab08!D50,'7b3bd85715a4'!D50,e2a9b537c609!D50,f97457958ce9!D50,'281fcc7d7eae'!D50,'01454b1cfeba'!D50,'79287892b1d7'!D50,'1b3f96535b56'!D50),"")</f>
        <v/>
      </c>
      <c r="I21" s="18" t="str">
        <f>IFERROR(AVERAGE('1ae03038ed69'!E50,'1572eb063e5c'!E50,b6ea66d78823!E50,'6d8dcb722ca4'!E50,'9306b30af184'!E50,'3b760aaeab13'!E50,b2f4402deaee!E50,'1c4d314e87cd'!E50,acd4708edfe6!E50,'9a32b1f50fb5'!E50,'2df562aa32e7'!E50,'3a5a3c04bd9d'!E50,'192241189337'!E50,'23a0423d7f40'!E50,'096252bb3796'!E50,a53d1c7f9645!E50,'283d32631463'!E50,'1a542cfbf2c5'!E50,cf262786a0e1!E50,'4b9efdeaeb40'!E50,'66fab14edc4c'!E50,d9a84a7879b5!E50,caf2b28627a3!E50,'602e9d1875d1'!E50,f168037f7f37!E50,eb071de1ab08!E50,'7b3bd85715a4'!E50,e2a9b537c609!E50,f97457958ce9!E50,'281fcc7d7eae'!E50,'01454b1cfeba'!E50,'79287892b1d7'!E50,'1b3f96535b56'!E50),"")</f>
        <v/>
      </c>
      <c r="J21" s="18" t="str">
        <f>IFERROR(AVERAGE('1ae03038ed69'!F50,'1572eb063e5c'!F50,b6ea66d78823!F50,'6d8dcb722ca4'!F50,'9306b30af184'!F50,'3b760aaeab13'!F50,b2f4402deaee!F50,'1c4d314e87cd'!F50,acd4708edfe6!F50,'9a32b1f50fb5'!F50,'2df562aa32e7'!F50,'3a5a3c04bd9d'!F50,'192241189337'!F50,'23a0423d7f40'!F50,'096252bb3796'!F50,a53d1c7f9645!F50,'283d32631463'!F50,'1a542cfbf2c5'!F50,cf262786a0e1!F50,'4b9efdeaeb40'!F50,'66fab14edc4c'!F50,d9a84a7879b5!F50,caf2b28627a3!F50,'602e9d1875d1'!F50,f168037f7f37!F50,eb071de1ab08!F50,'7b3bd85715a4'!F50,e2a9b537c609!F50,f97457958ce9!F50,'281fcc7d7eae'!F50,'01454b1cfeba'!F50,'79287892b1d7'!F50,'1b3f96535b56'!F50),"")</f>
        <v/>
      </c>
      <c r="K21" s="17" t="str">
        <f>IFERROR(AVERAGE('1ae03038ed69'!G50,'1572eb063e5c'!G50,b6ea66d78823!G50,'6d8dcb722ca4'!G50,'9306b30af184'!G50,'3b760aaeab13'!G50,b2f4402deaee!G50,'1c4d314e87cd'!G50,acd4708edfe6!G50,'9a32b1f50fb5'!G50,'2df562aa32e7'!G50,'3a5a3c04bd9d'!G50,'192241189337'!G50,'23a0423d7f40'!G50,'096252bb3796'!G50,a53d1c7f9645!G50,'283d32631463'!G50,'1a542cfbf2c5'!G50,cf262786a0e1!G50,'4b9efdeaeb40'!G50,'66fab14edc4c'!G50,d9a84a7879b5!G50,caf2b28627a3!G50,'602e9d1875d1'!G50,f168037f7f37!G50,eb071de1ab08!G50,'7b3bd85715a4'!G50,e2a9b537c609!G50,f97457958ce9!G50,'281fcc7d7eae'!G50,'01454b1cfeba'!G50,'79287892b1d7'!G50,'1b3f96535b56'!G50),"")</f>
        <v/>
      </c>
      <c r="L21" s="17" t="str">
        <f>IFERROR(AVERAGE('1ae03038ed69'!H50,'1572eb063e5c'!H50,b6ea66d78823!H50,'6d8dcb722ca4'!H50,'9306b30af184'!H50,'3b760aaeab13'!H50,b2f4402deaee!H50,'1c4d314e87cd'!H50,acd4708edfe6!H50,'9a32b1f50fb5'!H50,'2df562aa32e7'!H50,'3a5a3c04bd9d'!H50,'192241189337'!H50,'23a0423d7f40'!H50,'096252bb3796'!H50,a53d1c7f9645!H50,'283d32631463'!H50,'1a542cfbf2c5'!H50,cf262786a0e1!H50,'4b9efdeaeb40'!H50,'66fab14edc4c'!H50,d9a84a7879b5!H50,caf2b28627a3!H50,'602e9d1875d1'!H50,f168037f7f37!H50,eb071de1ab08!H50,'7b3bd85715a4'!H50,e2a9b537c609!H50,f97457958ce9!H50,'281fcc7d7eae'!H50,'01454b1cfeba'!H50,'79287892b1d7'!H50,'1b3f96535b56'!H50),"")</f>
        <v/>
      </c>
      <c r="M21" s="18" t="str">
        <f>IFERROR(AVERAGE('1ae03038ed69'!I50,'1572eb063e5c'!I50,b6ea66d78823!I50,'6d8dcb722ca4'!I50,'9306b30af184'!I50,'3b760aaeab13'!I50,b2f4402deaee!I50,'1c4d314e87cd'!I50,acd4708edfe6!I50,'9a32b1f50fb5'!I50,'2df562aa32e7'!I50,'3a5a3c04bd9d'!I50,'192241189337'!I50,'23a0423d7f40'!I50,'096252bb3796'!I50,a53d1c7f9645!I50,'283d32631463'!I50,'1a542cfbf2c5'!I50,cf262786a0e1!I50,'4b9efdeaeb40'!I50,'66fab14edc4c'!I50,d9a84a7879b5!I50,caf2b28627a3!I50,'602e9d1875d1'!I50,f168037f7f37!I50,eb071de1ab08!I50,'7b3bd85715a4'!I50,e2a9b537c609!I50,f97457958ce9!I50,'281fcc7d7eae'!I50,'01454b1cfeba'!I50,'79287892b1d7'!I50,'1b3f96535b56'!I50),"")</f>
        <v/>
      </c>
      <c r="N21" s="18" t="str">
        <f>IFERROR(AVERAGE('1ae03038ed69'!J50,'1572eb063e5c'!J50,b6ea66d78823!J50,'6d8dcb722ca4'!J50,'9306b30af184'!J50,'3b760aaeab13'!J50,b2f4402deaee!J50,'1c4d314e87cd'!J50,acd4708edfe6!J50,'9a32b1f50fb5'!J50,'2df562aa32e7'!J50,'3a5a3c04bd9d'!J50,'192241189337'!J50,'23a0423d7f40'!J50,'096252bb3796'!J50,a53d1c7f9645!J50,'283d32631463'!J50,'1a542cfbf2c5'!J50,cf262786a0e1!J50,'4b9efdeaeb40'!J50,'66fab14edc4c'!J50,d9a84a7879b5!J50,caf2b28627a3!J50,'602e9d1875d1'!J50,f168037f7f37!J50,eb071de1ab08!J50,'7b3bd85715a4'!J50,e2a9b537c609!J50,f97457958ce9!J50,'281fcc7d7eae'!J50,'01454b1cfeba'!J50,'79287892b1d7'!J50,'1b3f96535b56'!J50),"")</f>
        <v/>
      </c>
      <c r="O21" s="17" t="str">
        <f>IFERROR(AVERAGE('1ae03038ed69'!K50,'1572eb063e5c'!K50,b6ea66d78823!K50,'6d8dcb722ca4'!K50,'9306b30af184'!K50,'3b760aaeab13'!K50,b2f4402deaee!K50,'1c4d314e87cd'!K50,acd4708edfe6!K50,'9a32b1f50fb5'!K50,'2df562aa32e7'!K50,'3a5a3c04bd9d'!K50,'192241189337'!K50,'23a0423d7f40'!K50,'096252bb3796'!K50,a53d1c7f9645!K50,'283d32631463'!K50,'1a542cfbf2c5'!K50,cf262786a0e1!K50,'4b9efdeaeb40'!K50,'66fab14edc4c'!K50,d9a84a7879b5!K50,caf2b28627a3!K50,'602e9d1875d1'!K50,f168037f7f37!K50,eb071de1ab08!K50,'7b3bd85715a4'!K50,e2a9b537c609!K50,f97457958ce9!K50,'281fcc7d7eae'!K50,'01454b1cfeba'!K50,'79287892b1d7'!K50,'1b3f96535b56'!K50),"")</f>
        <v/>
      </c>
      <c r="P21" s="17" t="str">
        <f>IFERROR(AVERAGE('1ae03038ed69'!L50,'1572eb063e5c'!L50,b6ea66d78823!L50,'6d8dcb722ca4'!L50,'9306b30af184'!L50,'3b760aaeab13'!L50,b2f4402deaee!L50,'1c4d314e87cd'!L50,acd4708edfe6!L50,'9a32b1f50fb5'!L50,'2df562aa32e7'!L50,'3a5a3c04bd9d'!L50,'192241189337'!L50,'23a0423d7f40'!L50,'096252bb3796'!L50,a53d1c7f9645!L50,'283d32631463'!L50,'1a542cfbf2c5'!L50,cf262786a0e1!L50,'4b9efdeaeb40'!L50,'66fab14edc4c'!L50,d9a84a7879b5!L50,caf2b28627a3!L50,'602e9d1875d1'!L50,f168037f7f37!L50,eb071de1ab08!L50,'7b3bd85715a4'!L50,e2a9b537c609!L50,f97457958ce9!L50,'281fcc7d7eae'!L50,'01454b1cfeba'!L50,'79287892b1d7'!L50,'1b3f96535b56'!L50),"")</f>
        <v/>
      </c>
      <c r="Q21" s="18" t="str">
        <f>IFERROR(AVERAGE('1ae03038ed69'!M50,'1572eb063e5c'!M50,b6ea66d78823!M50,'6d8dcb722ca4'!M50,'9306b30af184'!M50,'3b760aaeab13'!M50,b2f4402deaee!M50,'1c4d314e87cd'!M50,acd4708edfe6!M50,'9a32b1f50fb5'!M50,'2df562aa32e7'!M50,'3a5a3c04bd9d'!M50,'192241189337'!M50,'23a0423d7f40'!M50,'096252bb3796'!M50,a53d1c7f9645!M50,'283d32631463'!M50,'1a542cfbf2c5'!M50,cf262786a0e1!M50,'4b9efdeaeb40'!M50,'66fab14edc4c'!M50,d9a84a7879b5!M50,caf2b28627a3!M50,'602e9d1875d1'!M50,f168037f7f37!M50,eb071de1ab08!M50,'7b3bd85715a4'!M50,e2a9b537c609!M50,f97457958ce9!M50,'281fcc7d7eae'!M50,'01454b1cfeba'!M50,'79287892b1d7'!M50,'1b3f96535b56'!M50),"")</f>
        <v/>
      </c>
      <c r="R21" s="18" t="str">
        <f>IFERROR(AVERAGE('1ae03038ed69'!N50,'1572eb063e5c'!N50,b6ea66d78823!N50,'6d8dcb722ca4'!N50,'9306b30af184'!N50,'3b760aaeab13'!N50,b2f4402deaee!N50,'1c4d314e87cd'!N50,acd4708edfe6!N50,'9a32b1f50fb5'!N50,'2df562aa32e7'!N50,'3a5a3c04bd9d'!N50,'192241189337'!N50,'23a0423d7f40'!N50,'096252bb3796'!N50,a53d1c7f9645!N50,'283d32631463'!N50,'1a542cfbf2c5'!N50,cf262786a0e1!N50,'4b9efdeaeb40'!N50,'66fab14edc4c'!N50,d9a84a7879b5!N50,caf2b28627a3!N50,'602e9d1875d1'!N50,f168037f7f37!N50,eb071de1ab08!N50,'7b3bd85715a4'!N50,e2a9b537c609!N50,f97457958ce9!N50,'281fcc7d7eae'!N50,'01454b1cfeba'!N50,'79287892b1d7'!N50,'1b3f96535b56'!N50),"")</f>
        <v/>
      </c>
      <c r="U21" t="s">
        <v>50</v>
      </c>
      <c r="V21" t="s">
        <v>51</v>
      </c>
    </row>
    <row r="22" spans="2:22" ht="15" customHeight="1">
      <c r="B22" s="87"/>
      <c r="C22" s="11"/>
      <c r="U22" t="s">
        <v>52</v>
      </c>
      <c r="V22" t="s">
        <v>53</v>
      </c>
    </row>
    <row r="23" spans="2:22" ht="13.5" customHeight="1">
      <c r="U23" t="s">
        <v>54</v>
      </c>
      <c r="V23" t="s">
        <v>31</v>
      </c>
    </row>
    <row r="24" spans="2:22" ht="15.75" customHeight="1">
      <c r="B24" s="21" t="s">
        <v>55</v>
      </c>
      <c r="C24" s="22" t="s">
        <v>56</v>
      </c>
      <c r="F24" s="56" t="s">
        <v>57</v>
      </c>
      <c r="G24" s="58" t="s">
        <v>9</v>
      </c>
      <c r="H24" s="84"/>
      <c r="I24" s="62" t="s">
        <v>10</v>
      </c>
      <c r="J24" s="84"/>
      <c r="K24" s="60" t="s">
        <v>11</v>
      </c>
      <c r="L24" s="84"/>
      <c r="M24" s="60" t="s">
        <v>12</v>
      </c>
      <c r="N24" s="84"/>
      <c r="O24" s="58" t="s">
        <v>13</v>
      </c>
      <c r="P24" s="84"/>
      <c r="Q24" s="58" t="s">
        <v>14</v>
      </c>
      <c r="R24" s="84"/>
      <c r="U24" t="s">
        <v>58</v>
      </c>
      <c r="V24" t="s">
        <v>37</v>
      </c>
    </row>
    <row r="25" spans="2:22" ht="15.75" customHeight="1">
      <c r="F25" s="85"/>
      <c r="G25" s="13" t="s">
        <v>18</v>
      </c>
      <c r="H25" s="13" t="s">
        <v>19</v>
      </c>
      <c r="I25" s="14" t="s">
        <v>18</v>
      </c>
      <c r="J25" s="14" t="s">
        <v>19</v>
      </c>
      <c r="K25" s="13" t="s">
        <v>18</v>
      </c>
      <c r="L25" s="13" t="s">
        <v>19</v>
      </c>
      <c r="M25" s="14" t="s">
        <v>18</v>
      </c>
      <c r="N25" s="14" t="s">
        <v>19</v>
      </c>
      <c r="O25" s="13" t="s">
        <v>18</v>
      </c>
      <c r="P25" s="13" t="s">
        <v>19</v>
      </c>
      <c r="Q25" s="14" t="s">
        <v>18</v>
      </c>
      <c r="R25" s="14" t="s">
        <v>19</v>
      </c>
      <c r="U25" t="s">
        <v>59</v>
      </c>
      <c r="V25" t="s">
        <v>33</v>
      </c>
    </row>
    <row r="26" spans="2:22" ht="15.75" customHeight="1">
      <c r="F26" s="16" t="str">
        <f>F10</f>
        <v>Governance, empowerment a…</v>
      </c>
      <c r="G26" s="17">
        <f>IF(ISNUMBER('1ae03038ed69'!C39)+ISNUMBER('1572eb063e5c'!C39)+ISNUMBER(b6ea66d78823!C39)+ISNUMBER('6d8dcb722ca4'!C39)+ISNUMBER('9306b30af184'!C39)+ISNUMBER('3b760aaeab13'!C39)+ISNUMBER(b2f4402deaee!C39)+ISNUMBER('1c4d314e87cd'!C39)+ISNUMBER(acd4708edfe6!C39)+ISNUMBER('9a32b1f50fb5'!C39)+ISNUMBER('2df562aa32e7'!C39)+ISNUMBER('3a5a3c04bd9d'!C39)+ISNUMBER('192241189337'!C39)+ISNUMBER('23a0423d7f40'!C39)+ISNUMBER('096252bb3796'!C39)+ISNUMBER(a53d1c7f9645!C39)+ISNUMBER('283d32631463'!C39)+ISNUMBER('1a542cfbf2c5'!C39)+ISNUMBER(cf262786a0e1!C39)+ISNUMBER('4b9efdeaeb40'!C39)+ISNUMBER('66fab14edc4c'!C39)+ISNUMBER(d9a84a7879b5!C39)+ISNUMBER(caf2b28627a3!C39)+ISNUMBER('602e9d1875d1'!C39)+ISNUMBER(f168037f7f37!C39)+ISNUMBER(eb071de1ab08!C39)+ISNUMBER('7b3bd85715a4'!C39)+ISNUMBER(e2a9b537c609!C39)+ISNUMBER(f97457958ce9!C39)+ISNUMBER('281fcc7d7eae'!C39)+ISNUMBER('01454b1cfeba'!C39)+ISNUMBER('79287892b1d7'!C39)+ISNUMBER('1b3f96535b56'!C39),ISNUMBER('1ae03038ed69'!C39)+ISNUMBER('1572eb063e5c'!C39)+ISNUMBER(b6ea66d78823!C39)+ISNUMBER('6d8dcb722ca4'!C39)+ISNUMBER('9306b30af184'!C39)+ISNUMBER('3b760aaeab13'!C39)+ISNUMBER(b2f4402deaee!C39)+ISNUMBER('1c4d314e87cd'!C39)+ISNUMBER(acd4708edfe6!C39)+ISNUMBER('9a32b1f50fb5'!C39)+ISNUMBER('2df562aa32e7'!C39)+ISNUMBER('3a5a3c04bd9d'!C39)+ISNUMBER('192241189337'!C39)+ISNUMBER('23a0423d7f40'!C39)+ISNUMBER('096252bb3796'!C39)+ISNUMBER(a53d1c7f9645!C39)+ISNUMBER('283d32631463'!C39)+ISNUMBER('1a542cfbf2c5'!C39)+ISNUMBER(cf262786a0e1!C39)+ISNUMBER('4b9efdeaeb40'!C39)+ISNUMBER('66fab14edc4c'!C39)+ISNUMBER(d9a84a7879b5!C39)+ISNUMBER(caf2b28627a3!C39)+ISNUMBER('602e9d1875d1'!C39)+ISNUMBER(f168037f7f37!C39)+ISNUMBER(eb071de1ab08!C39)+ISNUMBER('7b3bd85715a4'!C39)+ISNUMBER(e2a9b537c609!C39)+ISNUMBER(f97457958ce9!C39)+ISNUMBER('281fcc7d7eae'!C39)+ISNUMBER('01454b1cfeba'!C39)+ISNUMBER('79287892b1d7'!C39)+ISNUMBER('1b3f96535b56'!C39),"")</f>
        <v>2</v>
      </c>
      <c r="H26" s="17">
        <f>IF(ISNUMBER('1ae03038ed69'!D39)+ISNUMBER('1572eb063e5c'!D39)+ISNUMBER(b6ea66d78823!D39)+ISNUMBER('6d8dcb722ca4'!D39)+ISNUMBER('9306b30af184'!D39)+ISNUMBER('3b760aaeab13'!D39)+ISNUMBER(b2f4402deaee!D39)+ISNUMBER('1c4d314e87cd'!D39)+ISNUMBER(acd4708edfe6!D39)+ISNUMBER('9a32b1f50fb5'!D39)+ISNUMBER('2df562aa32e7'!D39)+ISNUMBER('3a5a3c04bd9d'!D39)+ISNUMBER('192241189337'!D39)+ISNUMBER('23a0423d7f40'!D39)+ISNUMBER('096252bb3796'!D39)+ISNUMBER(a53d1c7f9645!D39)+ISNUMBER('283d32631463'!D39)+ISNUMBER('1a542cfbf2c5'!D39)+ISNUMBER(cf262786a0e1!D39)+ISNUMBER('4b9efdeaeb40'!D39)+ISNUMBER('66fab14edc4c'!D39)+ISNUMBER(d9a84a7879b5!D39)+ISNUMBER(caf2b28627a3!D39)+ISNUMBER('602e9d1875d1'!D39)+ISNUMBER(f168037f7f37!D39)+ISNUMBER(eb071de1ab08!D39)+ISNUMBER('7b3bd85715a4'!D39)+ISNUMBER(e2a9b537c609!D39)+ISNUMBER(f97457958ce9!D39)+ISNUMBER('281fcc7d7eae'!D39)+ISNUMBER('01454b1cfeba'!D39)+ISNUMBER('79287892b1d7'!D39)+ISNUMBER('1b3f96535b56'!D39),ISNUMBER('1ae03038ed69'!D39)+ISNUMBER('1572eb063e5c'!D39)+ISNUMBER(b6ea66d78823!D39)+ISNUMBER('6d8dcb722ca4'!D39)+ISNUMBER('9306b30af184'!D39)+ISNUMBER('3b760aaeab13'!D39)+ISNUMBER(b2f4402deaee!D39)+ISNUMBER('1c4d314e87cd'!D39)+ISNUMBER(acd4708edfe6!D39)+ISNUMBER('9a32b1f50fb5'!D39)+ISNUMBER('2df562aa32e7'!D39)+ISNUMBER('3a5a3c04bd9d'!D39)+ISNUMBER('192241189337'!D39)+ISNUMBER('23a0423d7f40'!D39)+ISNUMBER('096252bb3796'!D39)+ISNUMBER(a53d1c7f9645!D39)+ISNUMBER('283d32631463'!D39)+ISNUMBER('1a542cfbf2c5'!D39)+ISNUMBER(cf262786a0e1!D39)+ISNUMBER('4b9efdeaeb40'!D39)+ISNUMBER('66fab14edc4c'!D39)+ISNUMBER(d9a84a7879b5!D39)+ISNUMBER(caf2b28627a3!D39)+ISNUMBER('602e9d1875d1'!D39)+ISNUMBER(f168037f7f37!D39)+ISNUMBER(eb071de1ab08!D39)+ISNUMBER('7b3bd85715a4'!D39)+ISNUMBER(e2a9b537c609!D39)+ISNUMBER(f97457958ce9!D39)+ISNUMBER('281fcc7d7eae'!D39)+ISNUMBER('01454b1cfeba'!D39)+ISNUMBER('79287892b1d7'!D39)+ISNUMBER('1b3f96535b56'!D39),"")</f>
        <v>1</v>
      </c>
      <c r="I26" s="18">
        <f>IF(ISNUMBER('1ae03038ed69'!E39)+ISNUMBER('1572eb063e5c'!E39)+ISNUMBER(b6ea66d78823!E39)+ISNUMBER('6d8dcb722ca4'!E39)+ISNUMBER('9306b30af184'!E39)+ISNUMBER('3b760aaeab13'!E39)+ISNUMBER(b2f4402deaee!E39)+ISNUMBER('1c4d314e87cd'!E39)+ISNUMBER(acd4708edfe6!E39)+ISNUMBER('9a32b1f50fb5'!E39)+ISNUMBER('2df562aa32e7'!E39)+ISNUMBER('3a5a3c04bd9d'!E39)+ISNUMBER('192241189337'!E39)+ISNUMBER('23a0423d7f40'!E39)+ISNUMBER('096252bb3796'!E39)+ISNUMBER(a53d1c7f9645!E39)+ISNUMBER('283d32631463'!E39)+ISNUMBER('1a542cfbf2c5'!E39)+ISNUMBER(cf262786a0e1!E39)+ISNUMBER('4b9efdeaeb40'!E39)+ISNUMBER('66fab14edc4c'!E39)+ISNUMBER(d9a84a7879b5!E39)+ISNUMBER(caf2b28627a3!E39)+ISNUMBER('602e9d1875d1'!E39)+ISNUMBER(f168037f7f37!E39)+ISNUMBER(eb071de1ab08!E39)+ISNUMBER('7b3bd85715a4'!E39)+ISNUMBER(e2a9b537c609!E39)+ISNUMBER(f97457958ce9!E39)+ISNUMBER('281fcc7d7eae'!E39)+ISNUMBER('01454b1cfeba'!E39)+ISNUMBER('79287892b1d7'!E39)+ISNUMBER('1b3f96535b56'!E39),ISNUMBER('1ae03038ed69'!E39)+ISNUMBER('1572eb063e5c'!E39)+ISNUMBER(b6ea66d78823!E39)+ISNUMBER('6d8dcb722ca4'!E39)+ISNUMBER('9306b30af184'!E39)+ISNUMBER('3b760aaeab13'!E39)+ISNUMBER(b2f4402deaee!E39)+ISNUMBER('1c4d314e87cd'!E39)+ISNUMBER(acd4708edfe6!E39)+ISNUMBER('9a32b1f50fb5'!E39)+ISNUMBER('2df562aa32e7'!E39)+ISNUMBER('3a5a3c04bd9d'!E39)+ISNUMBER('192241189337'!E39)+ISNUMBER('23a0423d7f40'!E39)+ISNUMBER('096252bb3796'!E39)+ISNUMBER(a53d1c7f9645!E39)+ISNUMBER('283d32631463'!E39)+ISNUMBER('1a542cfbf2c5'!E39)+ISNUMBER(cf262786a0e1!E39)+ISNUMBER('4b9efdeaeb40'!E39)+ISNUMBER('66fab14edc4c'!E39)+ISNUMBER(d9a84a7879b5!E39)+ISNUMBER(caf2b28627a3!E39)+ISNUMBER('602e9d1875d1'!E39)+ISNUMBER(f168037f7f37!E39)+ISNUMBER(eb071de1ab08!E39)+ISNUMBER('7b3bd85715a4'!E39)+ISNUMBER(e2a9b537c609!E39)+ISNUMBER(f97457958ce9!E39)+ISNUMBER('281fcc7d7eae'!E39)+ISNUMBER('01454b1cfeba'!E39)+ISNUMBER('79287892b1d7'!E39)+ISNUMBER('1b3f96535b56'!E39),"")</f>
        <v>1</v>
      </c>
      <c r="J26" s="18">
        <f>IF(ISNUMBER('1ae03038ed69'!F39)+ISNUMBER('1572eb063e5c'!F39)+ISNUMBER(b6ea66d78823!F39)+ISNUMBER('6d8dcb722ca4'!F39)+ISNUMBER('9306b30af184'!F39)+ISNUMBER('3b760aaeab13'!F39)+ISNUMBER(b2f4402deaee!F39)+ISNUMBER('1c4d314e87cd'!F39)+ISNUMBER(acd4708edfe6!F39)+ISNUMBER('9a32b1f50fb5'!F39)+ISNUMBER('2df562aa32e7'!F39)+ISNUMBER('3a5a3c04bd9d'!F39)+ISNUMBER('192241189337'!F39)+ISNUMBER('23a0423d7f40'!F39)+ISNUMBER('096252bb3796'!F39)+ISNUMBER(a53d1c7f9645!F39)+ISNUMBER('283d32631463'!F39)+ISNUMBER('1a542cfbf2c5'!F39)+ISNUMBER(cf262786a0e1!F39)+ISNUMBER('4b9efdeaeb40'!F39)+ISNUMBER('66fab14edc4c'!F39)+ISNUMBER(d9a84a7879b5!F39)+ISNUMBER(caf2b28627a3!F39)+ISNUMBER('602e9d1875d1'!F39)+ISNUMBER(f168037f7f37!F39)+ISNUMBER(eb071de1ab08!F39)+ISNUMBER('7b3bd85715a4'!F39)+ISNUMBER(e2a9b537c609!F39)+ISNUMBER(f97457958ce9!F39)+ISNUMBER('281fcc7d7eae'!F39)+ISNUMBER('01454b1cfeba'!F39)+ISNUMBER('79287892b1d7'!F39)+ISNUMBER('1b3f96535b56'!F39),ISNUMBER('1ae03038ed69'!F39)+ISNUMBER('1572eb063e5c'!F39)+ISNUMBER(b6ea66d78823!F39)+ISNUMBER('6d8dcb722ca4'!F39)+ISNUMBER('9306b30af184'!F39)+ISNUMBER('3b760aaeab13'!F39)+ISNUMBER(b2f4402deaee!F39)+ISNUMBER('1c4d314e87cd'!F39)+ISNUMBER(acd4708edfe6!F39)+ISNUMBER('9a32b1f50fb5'!F39)+ISNUMBER('2df562aa32e7'!F39)+ISNUMBER('3a5a3c04bd9d'!F39)+ISNUMBER('192241189337'!F39)+ISNUMBER('23a0423d7f40'!F39)+ISNUMBER('096252bb3796'!F39)+ISNUMBER(a53d1c7f9645!F39)+ISNUMBER('283d32631463'!F39)+ISNUMBER('1a542cfbf2c5'!F39)+ISNUMBER(cf262786a0e1!F39)+ISNUMBER('4b9efdeaeb40'!F39)+ISNUMBER('66fab14edc4c'!F39)+ISNUMBER(d9a84a7879b5!F39)+ISNUMBER(caf2b28627a3!F39)+ISNUMBER('602e9d1875d1'!F39)+ISNUMBER(f168037f7f37!F39)+ISNUMBER(eb071de1ab08!F39)+ISNUMBER('7b3bd85715a4'!F39)+ISNUMBER(e2a9b537c609!F39)+ISNUMBER(f97457958ce9!F39)+ISNUMBER('281fcc7d7eae'!F39)+ISNUMBER('01454b1cfeba'!F39)+ISNUMBER('79287892b1d7'!F39)+ISNUMBER('1b3f96535b56'!F39),"")</f>
        <v>1</v>
      </c>
      <c r="K26" s="17" t="str">
        <f>IF(ISNUMBER('1ae03038ed69'!G39)+ISNUMBER('1572eb063e5c'!G39)+ISNUMBER(b6ea66d78823!G39)+ISNUMBER('6d8dcb722ca4'!G39)+ISNUMBER('9306b30af184'!G39)+ISNUMBER('3b760aaeab13'!G39)+ISNUMBER(b2f4402deaee!G39)+ISNUMBER('1c4d314e87cd'!G39)+ISNUMBER(acd4708edfe6!G39)+ISNUMBER('9a32b1f50fb5'!G39)+ISNUMBER('2df562aa32e7'!G39)+ISNUMBER('3a5a3c04bd9d'!G39)+ISNUMBER('192241189337'!G39)+ISNUMBER('23a0423d7f40'!G39)+ISNUMBER('096252bb3796'!G39)+ISNUMBER(a53d1c7f9645!G39)+ISNUMBER('283d32631463'!G39)+ISNUMBER('1a542cfbf2c5'!G39)+ISNUMBER(cf262786a0e1!G39)+ISNUMBER('4b9efdeaeb40'!G39)+ISNUMBER('66fab14edc4c'!G39)+ISNUMBER(d9a84a7879b5!G39)+ISNUMBER(caf2b28627a3!G39)+ISNUMBER('602e9d1875d1'!G39)+ISNUMBER(f168037f7f37!G39)+ISNUMBER(eb071de1ab08!G39)+ISNUMBER('7b3bd85715a4'!G39)+ISNUMBER(e2a9b537c609!G39)+ISNUMBER(f97457958ce9!G39)+ISNUMBER('281fcc7d7eae'!G39)+ISNUMBER('01454b1cfeba'!G39)+ISNUMBER('79287892b1d7'!G39)+ISNUMBER('1b3f96535b56'!G39),ISNUMBER('1ae03038ed69'!G39)+ISNUMBER('1572eb063e5c'!G39)+ISNUMBER(b6ea66d78823!G39)+ISNUMBER('6d8dcb722ca4'!G39)+ISNUMBER('9306b30af184'!G39)+ISNUMBER('3b760aaeab13'!G39)+ISNUMBER(b2f4402deaee!G39)+ISNUMBER('1c4d314e87cd'!G39)+ISNUMBER(acd4708edfe6!G39)+ISNUMBER('9a32b1f50fb5'!G39)+ISNUMBER('2df562aa32e7'!G39)+ISNUMBER('3a5a3c04bd9d'!G39)+ISNUMBER('192241189337'!G39)+ISNUMBER('23a0423d7f40'!G39)+ISNUMBER('096252bb3796'!G39)+ISNUMBER(a53d1c7f9645!G39)+ISNUMBER('283d32631463'!G39)+ISNUMBER('1a542cfbf2c5'!G39)+ISNUMBER(cf262786a0e1!G39)+ISNUMBER('4b9efdeaeb40'!G39)+ISNUMBER('66fab14edc4c'!G39)+ISNUMBER(d9a84a7879b5!G39)+ISNUMBER(caf2b28627a3!G39)+ISNUMBER('602e9d1875d1'!G39)+ISNUMBER(f168037f7f37!G39)+ISNUMBER(eb071de1ab08!G39)+ISNUMBER('7b3bd85715a4'!G39)+ISNUMBER(e2a9b537c609!G39)+ISNUMBER(f97457958ce9!G39)+ISNUMBER('281fcc7d7eae'!G39)+ISNUMBER('01454b1cfeba'!G39)+ISNUMBER('79287892b1d7'!G39)+ISNUMBER('1b3f96535b56'!G39),"")</f>
        <v/>
      </c>
      <c r="L26" s="17">
        <f>IF(ISNUMBER('1ae03038ed69'!H39)+ISNUMBER('1572eb063e5c'!H39)+ISNUMBER(b6ea66d78823!H39)+ISNUMBER('6d8dcb722ca4'!H39)+ISNUMBER('9306b30af184'!H39)+ISNUMBER('3b760aaeab13'!H39)+ISNUMBER(b2f4402deaee!H39)+ISNUMBER('1c4d314e87cd'!H39)+ISNUMBER(acd4708edfe6!H39)+ISNUMBER('9a32b1f50fb5'!H39)+ISNUMBER('2df562aa32e7'!H39)+ISNUMBER('3a5a3c04bd9d'!H39)+ISNUMBER('192241189337'!H39)+ISNUMBER('23a0423d7f40'!H39)+ISNUMBER('096252bb3796'!H39)+ISNUMBER(a53d1c7f9645!H39)+ISNUMBER('283d32631463'!H39)+ISNUMBER('1a542cfbf2c5'!H39)+ISNUMBER(cf262786a0e1!H39)+ISNUMBER('4b9efdeaeb40'!H39)+ISNUMBER('66fab14edc4c'!H39)+ISNUMBER(d9a84a7879b5!H39)+ISNUMBER(caf2b28627a3!H39)+ISNUMBER('602e9d1875d1'!H39)+ISNUMBER(f168037f7f37!H39)+ISNUMBER(eb071de1ab08!H39)+ISNUMBER('7b3bd85715a4'!H39)+ISNUMBER(e2a9b537c609!H39)+ISNUMBER(f97457958ce9!H39)+ISNUMBER('281fcc7d7eae'!H39)+ISNUMBER('01454b1cfeba'!H39)+ISNUMBER('79287892b1d7'!H39)+ISNUMBER('1b3f96535b56'!H39),ISNUMBER('1ae03038ed69'!H39)+ISNUMBER('1572eb063e5c'!H39)+ISNUMBER(b6ea66d78823!H39)+ISNUMBER('6d8dcb722ca4'!H39)+ISNUMBER('9306b30af184'!H39)+ISNUMBER('3b760aaeab13'!H39)+ISNUMBER(b2f4402deaee!H39)+ISNUMBER('1c4d314e87cd'!H39)+ISNUMBER(acd4708edfe6!H39)+ISNUMBER('9a32b1f50fb5'!H39)+ISNUMBER('2df562aa32e7'!H39)+ISNUMBER('3a5a3c04bd9d'!H39)+ISNUMBER('192241189337'!H39)+ISNUMBER('23a0423d7f40'!H39)+ISNUMBER('096252bb3796'!H39)+ISNUMBER(a53d1c7f9645!H39)+ISNUMBER('283d32631463'!H39)+ISNUMBER('1a542cfbf2c5'!H39)+ISNUMBER(cf262786a0e1!H39)+ISNUMBER('4b9efdeaeb40'!H39)+ISNUMBER('66fab14edc4c'!H39)+ISNUMBER(d9a84a7879b5!H39)+ISNUMBER(caf2b28627a3!H39)+ISNUMBER('602e9d1875d1'!H39)+ISNUMBER(f168037f7f37!H39)+ISNUMBER(eb071de1ab08!H39)+ISNUMBER('7b3bd85715a4'!H39)+ISNUMBER(e2a9b537c609!H39)+ISNUMBER(f97457958ce9!H39)+ISNUMBER('281fcc7d7eae'!H39)+ISNUMBER('01454b1cfeba'!H39)+ISNUMBER('79287892b1d7'!H39)+ISNUMBER('1b3f96535b56'!H39),"")</f>
        <v>1</v>
      </c>
      <c r="M26" s="18">
        <f>IF(ISNUMBER('1ae03038ed69'!I39)+ISNUMBER('1572eb063e5c'!I39)+ISNUMBER(b6ea66d78823!I39)+ISNUMBER('6d8dcb722ca4'!I39)+ISNUMBER('9306b30af184'!I39)+ISNUMBER('3b760aaeab13'!I39)+ISNUMBER(b2f4402deaee!I39)+ISNUMBER('1c4d314e87cd'!I39)+ISNUMBER(acd4708edfe6!I39)+ISNUMBER('9a32b1f50fb5'!I39)+ISNUMBER('2df562aa32e7'!I39)+ISNUMBER('3a5a3c04bd9d'!I39)+ISNUMBER('192241189337'!I39)+ISNUMBER('23a0423d7f40'!I39)+ISNUMBER('096252bb3796'!I39)+ISNUMBER(a53d1c7f9645!I39)+ISNUMBER('283d32631463'!I39)+ISNUMBER('1a542cfbf2c5'!I39)+ISNUMBER(cf262786a0e1!I39)+ISNUMBER('4b9efdeaeb40'!I39)+ISNUMBER('66fab14edc4c'!I39)+ISNUMBER(d9a84a7879b5!I39)+ISNUMBER(caf2b28627a3!I39)+ISNUMBER('602e9d1875d1'!I39)+ISNUMBER(f168037f7f37!I39)+ISNUMBER(eb071de1ab08!I39)+ISNUMBER('7b3bd85715a4'!I39)+ISNUMBER(e2a9b537c609!I39)+ISNUMBER(f97457958ce9!I39)+ISNUMBER('281fcc7d7eae'!I39)+ISNUMBER('01454b1cfeba'!I39)+ISNUMBER('79287892b1d7'!I39)+ISNUMBER('1b3f96535b56'!I39),ISNUMBER('1ae03038ed69'!I39)+ISNUMBER('1572eb063e5c'!I39)+ISNUMBER(b6ea66d78823!I39)+ISNUMBER('6d8dcb722ca4'!I39)+ISNUMBER('9306b30af184'!I39)+ISNUMBER('3b760aaeab13'!I39)+ISNUMBER(b2f4402deaee!I39)+ISNUMBER('1c4d314e87cd'!I39)+ISNUMBER(acd4708edfe6!I39)+ISNUMBER('9a32b1f50fb5'!I39)+ISNUMBER('2df562aa32e7'!I39)+ISNUMBER('3a5a3c04bd9d'!I39)+ISNUMBER('192241189337'!I39)+ISNUMBER('23a0423d7f40'!I39)+ISNUMBER('096252bb3796'!I39)+ISNUMBER(a53d1c7f9645!I39)+ISNUMBER('283d32631463'!I39)+ISNUMBER('1a542cfbf2c5'!I39)+ISNUMBER(cf262786a0e1!I39)+ISNUMBER('4b9efdeaeb40'!I39)+ISNUMBER('66fab14edc4c'!I39)+ISNUMBER(d9a84a7879b5!I39)+ISNUMBER(caf2b28627a3!I39)+ISNUMBER('602e9d1875d1'!I39)+ISNUMBER(f168037f7f37!I39)+ISNUMBER(eb071de1ab08!I39)+ISNUMBER('7b3bd85715a4'!I39)+ISNUMBER(e2a9b537c609!I39)+ISNUMBER(f97457958ce9!I39)+ISNUMBER('281fcc7d7eae'!I39)+ISNUMBER('01454b1cfeba'!I39)+ISNUMBER('79287892b1d7'!I39)+ISNUMBER('1b3f96535b56'!I39),"")</f>
        <v>1</v>
      </c>
      <c r="N26" s="18">
        <f>IF(ISNUMBER('1ae03038ed69'!J39)+ISNUMBER('1572eb063e5c'!J39)+ISNUMBER(b6ea66d78823!J39)+ISNUMBER('6d8dcb722ca4'!J39)+ISNUMBER('9306b30af184'!J39)+ISNUMBER('3b760aaeab13'!J39)+ISNUMBER(b2f4402deaee!J39)+ISNUMBER('1c4d314e87cd'!J39)+ISNUMBER(acd4708edfe6!J39)+ISNUMBER('9a32b1f50fb5'!J39)+ISNUMBER('2df562aa32e7'!J39)+ISNUMBER('3a5a3c04bd9d'!J39)+ISNUMBER('192241189337'!J39)+ISNUMBER('23a0423d7f40'!J39)+ISNUMBER('096252bb3796'!J39)+ISNUMBER(a53d1c7f9645!J39)+ISNUMBER('283d32631463'!J39)+ISNUMBER('1a542cfbf2c5'!J39)+ISNUMBER(cf262786a0e1!J39)+ISNUMBER('4b9efdeaeb40'!J39)+ISNUMBER('66fab14edc4c'!J39)+ISNUMBER(d9a84a7879b5!J39)+ISNUMBER(caf2b28627a3!J39)+ISNUMBER('602e9d1875d1'!J39)+ISNUMBER(f168037f7f37!J39)+ISNUMBER(eb071de1ab08!J39)+ISNUMBER('7b3bd85715a4'!J39)+ISNUMBER(e2a9b537c609!J39)+ISNUMBER(f97457958ce9!J39)+ISNUMBER('281fcc7d7eae'!J39)+ISNUMBER('01454b1cfeba'!J39)+ISNUMBER('79287892b1d7'!J39)+ISNUMBER('1b3f96535b56'!J39),ISNUMBER('1ae03038ed69'!J39)+ISNUMBER('1572eb063e5c'!J39)+ISNUMBER(b6ea66d78823!J39)+ISNUMBER('6d8dcb722ca4'!J39)+ISNUMBER('9306b30af184'!J39)+ISNUMBER('3b760aaeab13'!J39)+ISNUMBER(b2f4402deaee!J39)+ISNUMBER('1c4d314e87cd'!J39)+ISNUMBER(acd4708edfe6!J39)+ISNUMBER('9a32b1f50fb5'!J39)+ISNUMBER('2df562aa32e7'!J39)+ISNUMBER('3a5a3c04bd9d'!J39)+ISNUMBER('192241189337'!J39)+ISNUMBER('23a0423d7f40'!J39)+ISNUMBER('096252bb3796'!J39)+ISNUMBER(a53d1c7f9645!J39)+ISNUMBER('283d32631463'!J39)+ISNUMBER('1a542cfbf2c5'!J39)+ISNUMBER(cf262786a0e1!J39)+ISNUMBER('4b9efdeaeb40'!J39)+ISNUMBER('66fab14edc4c'!J39)+ISNUMBER(d9a84a7879b5!J39)+ISNUMBER(caf2b28627a3!J39)+ISNUMBER('602e9d1875d1'!J39)+ISNUMBER(f168037f7f37!J39)+ISNUMBER(eb071de1ab08!J39)+ISNUMBER('7b3bd85715a4'!J39)+ISNUMBER(e2a9b537c609!J39)+ISNUMBER(f97457958ce9!J39)+ISNUMBER('281fcc7d7eae'!J39)+ISNUMBER('01454b1cfeba'!J39)+ISNUMBER('79287892b1d7'!J39)+ISNUMBER('1b3f96535b56'!J39),"")</f>
        <v>1</v>
      </c>
      <c r="O26" s="17">
        <f>IF(ISNUMBER('1ae03038ed69'!K39)+ISNUMBER('1572eb063e5c'!K39)+ISNUMBER(b6ea66d78823!K39)+ISNUMBER('6d8dcb722ca4'!K39)+ISNUMBER('9306b30af184'!K39)+ISNUMBER('3b760aaeab13'!K39)+ISNUMBER(b2f4402deaee!K39)+ISNUMBER('1c4d314e87cd'!K39)+ISNUMBER(acd4708edfe6!K39)+ISNUMBER('9a32b1f50fb5'!K39)+ISNUMBER('2df562aa32e7'!K39)+ISNUMBER('3a5a3c04bd9d'!K39)+ISNUMBER('192241189337'!K39)+ISNUMBER('23a0423d7f40'!K39)+ISNUMBER('096252bb3796'!K39)+ISNUMBER(a53d1c7f9645!K39)+ISNUMBER('283d32631463'!K39)+ISNUMBER('1a542cfbf2c5'!K39)+ISNUMBER(cf262786a0e1!K39)+ISNUMBER('4b9efdeaeb40'!K39)+ISNUMBER('66fab14edc4c'!K39)+ISNUMBER(d9a84a7879b5!K39)+ISNUMBER(caf2b28627a3!K39)+ISNUMBER('602e9d1875d1'!K39)+ISNUMBER(f168037f7f37!K39)+ISNUMBER(eb071de1ab08!K39)+ISNUMBER('7b3bd85715a4'!K39)+ISNUMBER(e2a9b537c609!K39)+ISNUMBER(f97457958ce9!K39)+ISNUMBER('281fcc7d7eae'!K39)+ISNUMBER('01454b1cfeba'!K39)+ISNUMBER('79287892b1d7'!K39)+ISNUMBER('1b3f96535b56'!K39),ISNUMBER('1ae03038ed69'!K39)+ISNUMBER('1572eb063e5c'!K39)+ISNUMBER(b6ea66d78823!K39)+ISNUMBER('6d8dcb722ca4'!K39)+ISNUMBER('9306b30af184'!K39)+ISNUMBER('3b760aaeab13'!K39)+ISNUMBER(b2f4402deaee!K39)+ISNUMBER('1c4d314e87cd'!K39)+ISNUMBER(acd4708edfe6!K39)+ISNUMBER('9a32b1f50fb5'!K39)+ISNUMBER('2df562aa32e7'!K39)+ISNUMBER('3a5a3c04bd9d'!K39)+ISNUMBER('192241189337'!K39)+ISNUMBER('23a0423d7f40'!K39)+ISNUMBER('096252bb3796'!K39)+ISNUMBER(a53d1c7f9645!K39)+ISNUMBER('283d32631463'!K39)+ISNUMBER('1a542cfbf2c5'!K39)+ISNUMBER(cf262786a0e1!K39)+ISNUMBER('4b9efdeaeb40'!K39)+ISNUMBER('66fab14edc4c'!K39)+ISNUMBER(d9a84a7879b5!K39)+ISNUMBER(caf2b28627a3!K39)+ISNUMBER('602e9d1875d1'!K39)+ISNUMBER(f168037f7f37!K39)+ISNUMBER(eb071de1ab08!K39)+ISNUMBER('7b3bd85715a4'!K39)+ISNUMBER(e2a9b537c609!K39)+ISNUMBER(f97457958ce9!K39)+ISNUMBER('281fcc7d7eae'!K39)+ISNUMBER('01454b1cfeba'!K39)+ISNUMBER('79287892b1d7'!K39)+ISNUMBER('1b3f96535b56'!K39),"")</f>
        <v>2</v>
      </c>
      <c r="P26" s="17">
        <f>IF(ISNUMBER('1ae03038ed69'!L39)+ISNUMBER('1572eb063e5c'!L39)+ISNUMBER(b6ea66d78823!L39)+ISNUMBER('6d8dcb722ca4'!L39)+ISNUMBER('9306b30af184'!L39)+ISNUMBER('3b760aaeab13'!L39)+ISNUMBER(b2f4402deaee!L39)+ISNUMBER('1c4d314e87cd'!L39)+ISNUMBER(acd4708edfe6!L39)+ISNUMBER('9a32b1f50fb5'!L39)+ISNUMBER('2df562aa32e7'!L39)+ISNUMBER('3a5a3c04bd9d'!L39)+ISNUMBER('192241189337'!L39)+ISNUMBER('23a0423d7f40'!L39)+ISNUMBER('096252bb3796'!L39)+ISNUMBER(a53d1c7f9645!L39)+ISNUMBER('283d32631463'!L39)+ISNUMBER('1a542cfbf2c5'!L39)+ISNUMBER(cf262786a0e1!L39)+ISNUMBER('4b9efdeaeb40'!L39)+ISNUMBER('66fab14edc4c'!L39)+ISNUMBER(d9a84a7879b5!L39)+ISNUMBER(caf2b28627a3!L39)+ISNUMBER('602e9d1875d1'!L39)+ISNUMBER(f168037f7f37!L39)+ISNUMBER(eb071de1ab08!L39)+ISNUMBER('7b3bd85715a4'!L39)+ISNUMBER(e2a9b537c609!L39)+ISNUMBER(f97457958ce9!L39)+ISNUMBER('281fcc7d7eae'!L39)+ISNUMBER('01454b1cfeba'!L39)+ISNUMBER('79287892b1d7'!L39)+ISNUMBER('1b3f96535b56'!L39),ISNUMBER('1ae03038ed69'!L39)+ISNUMBER('1572eb063e5c'!L39)+ISNUMBER(b6ea66d78823!L39)+ISNUMBER('6d8dcb722ca4'!L39)+ISNUMBER('9306b30af184'!L39)+ISNUMBER('3b760aaeab13'!L39)+ISNUMBER(b2f4402deaee!L39)+ISNUMBER('1c4d314e87cd'!L39)+ISNUMBER(acd4708edfe6!L39)+ISNUMBER('9a32b1f50fb5'!L39)+ISNUMBER('2df562aa32e7'!L39)+ISNUMBER('3a5a3c04bd9d'!L39)+ISNUMBER('192241189337'!L39)+ISNUMBER('23a0423d7f40'!L39)+ISNUMBER('096252bb3796'!L39)+ISNUMBER(a53d1c7f9645!L39)+ISNUMBER('283d32631463'!L39)+ISNUMBER('1a542cfbf2c5'!L39)+ISNUMBER(cf262786a0e1!L39)+ISNUMBER('4b9efdeaeb40'!L39)+ISNUMBER('66fab14edc4c'!L39)+ISNUMBER(d9a84a7879b5!L39)+ISNUMBER(caf2b28627a3!L39)+ISNUMBER('602e9d1875d1'!L39)+ISNUMBER(f168037f7f37!L39)+ISNUMBER(eb071de1ab08!L39)+ISNUMBER('7b3bd85715a4'!L39)+ISNUMBER(e2a9b537c609!L39)+ISNUMBER(f97457958ce9!L39)+ISNUMBER('281fcc7d7eae'!L39)+ISNUMBER('01454b1cfeba'!L39)+ISNUMBER('79287892b1d7'!L39)+ISNUMBER('1b3f96535b56'!L39),"")</f>
        <v>3</v>
      </c>
      <c r="Q26" s="18" t="str">
        <f>IF(ISNUMBER('1ae03038ed69'!M39)+ISNUMBER('1572eb063e5c'!M39)+ISNUMBER(b6ea66d78823!M39)+ISNUMBER('6d8dcb722ca4'!M39)+ISNUMBER('9306b30af184'!M39)+ISNUMBER('3b760aaeab13'!M39)+ISNUMBER(b2f4402deaee!M39)+ISNUMBER('1c4d314e87cd'!M39)+ISNUMBER(acd4708edfe6!M39)+ISNUMBER('9a32b1f50fb5'!M39)+ISNUMBER('2df562aa32e7'!M39)+ISNUMBER('3a5a3c04bd9d'!M39)+ISNUMBER('192241189337'!M39)+ISNUMBER('23a0423d7f40'!M39)+ISNUMBER('096252bb3796'!M39)+ISNUMBER(a53d1c7f9645!M39)+ISNUMBER('283d32631463'!M39)+ISNUMBER('1a542cfbf2c5'!M39)+ISNUMBER(cf262786a0e1!M39)+ISNUMBER('4b9efdeaeb40'!M39)+ISNUMBER('66fab14edc4c'!M39)+ISNUMBER(d9a84a7879b5!M39)+ISNUMBER(caf2b28627a3!M39)+ISNUMBER('602e9d1875d1'!M39)+ISNUMBER(f168037f7f37!M39)+ISNUMBER(eb071de1ab08!M39)+ISNUMBER('7b3bd85715a4'!M39)+ISNUMBER(e2a9b537c609!M39)+ISNUMBER(f97457958ce9!M39)+ISNUMBER('281fcc7d7eae'!M39)+ISNUMBER('01454b1cfeba'!M39)+ISNUMBER('79287892b1d7'!M39)+ISNUMBER('1b3f96535b56'!M39),ISNUMBER('1ae03038ed69'!M39)+ISNUMBER('1572eb063e5c'!M39)+ISNUMBER(b6ea66d78823!M39)+ISNUMBER('6d8dcb722ca4'!M39)+ISNUMBER('9306b30af184'!M39)+ISNUMBER('3b760aaeab13'!M39)+ISNUMBER(b2f4402deaee!M39)+ISNUMBER('1c4d314e87cd'!M39)+ISNUMBER(acd4708edfe6!M39)+ISNUMBER('9a32b1f50fb5'!M39)+ISNUMBER('2df562aa32e7'!M39)+ISNUMBER('3a5a3c04bd9d'!M39)+ISNUMBER('192241189337'!M39)+ISNUMBER('23a0423d7f40'!M39)+ISNUMBER('096252bb3796'!M39)+ISNUMBER(a53d1c7f9645!M39)+ISNUMBER('283d32631463'!M39)+ISNUMBER('1a542cfbf2c5'!M39)+ISNUMBER(cf262786a0e1!M39)+ISNUMBER('4b9efdeaeb40'!M39)+ISNUMBER('66fab14edc4c'!M39)+ISNUMBER(d9a84a7879b5!M39)+ISNUMBER(caf2b28627a3!M39)+ISNUMBER('602e9d1875d1'!M39)+ISNUMBER(f168037f7f37!M39)+ISNUMBER(eb071de1ab08!M39)+ISNUMBER('7b3bd85715a4'!M39)+ISNUMBER(e2a9b537c609!M39)+ISNUMBER(f97457958ce9!M39)+ISNUMBER('281fcc7d7eae'!M39)+ISNUMBER('01454b1cfeba'!M39)+ISNUMBER('79287892b1d7'!M39)+ISNUMBER('1b3f96535b56'!M39),"")</f>
        <v/>
      </c>
      <c r="R26" s="18" t="str">
        <f>IF(ISNUMBER('1ae03038ed69'!N39)+ISNUMBER('1572eb063e5c'!N39)+ISNUMBER(b6ea66d78823!N39)+ISNUMBER('6d8dcb722ca4'!N39)+ISNUMBER('9306b30af184'!N39)+ISNUMBER('3b760aaeab13'!N39)+ISNUMBER(b2f4402deaee!N39)+ISNUMBER('1c4d314e87cd'!N39)+ISNUMBER(acd4708edfe6!N39)+ISNUMBER('9a32b1f50fb5'!N39)+ISNUMBER('2df562aa32e7'!N39)+ISNUMBER('3a5a3c04bd9d'!N39)+ISNUMBER('192241189337'!N39)+ISNUMBER('23a0423d7f40'!N39)+ISNUMBER('096252bb3796'!N39)+ISNUMBER(a53d1c7f9645!N39)+ISNUMBER('283d32631463'!N39)+ISNUMBER('1a542cfbf2c5'!N39)+ISNUMBER(cf262786a0e1!N39)+ISNUMBER('4b9efdeaeb40'!N39)+ISNUMBER('66fab14edc4c'!N39)+ISNUMBER(d9a84a7879b5!N39)+ISNUMBER(caf2b28627a3!N39)+ISNUMBER('602e9d1875d1'!N39)+ISNUMBER(f168037f7f37!N39)+ISNUMBER(eb071de1ab08!N39)+ISNUMBER('7b3bd85715a4'!N39)+ISNUMBER(e2a9b537c609!N39)+ISNUMBER(f97457958ce9!N39)+ISNUMBER('281fcc7d7eae'!N39)+ISNUMBER('01454b1cfeba'!N39)+ISNUMBER('79287892b1d7'!N39)+ISNUMBER('1b3f96535b56'!N39),ISNUMBER('1ae03038ed69'!N39)+ISNUMBER('1572eb063e5c'!N39)+ISNUMBER(b6ea66d78823!N39)+ISNUMBER('6d8dcb722ca4'!N39)+ISNUMBER('9306b30af184'!N39)+ISNUMBER('3b760aaeab13'!N39)+ISNUMBER(b2f4402deaee!N39)+ISNUMBER('1c4d314e87cd'!N39)+ISNUMBER(acd4708edfe6!N39)+ISNUMBER('9a32b1f50fb5'!N39)+ISNUMBER('2df562aa32e7'!N39)+ISNUMBER('3a5a3c04bd9d'!N39)+ISNUMBER('192241189337'!N39)+ISNUMBER('23a0423d7f40'!N39)+ISNUMBER('096252bb3796'!N39)+ISNUMBER(a53d1c7f9645!N39)+ISNUMBER('283d32631463'!N39)+ISNUMBER('1a542cfbf2c5'!N39)+ISNUMBER(cf262786a0e1!N39)+ISNUMBER('4b9efdeaeb40'!N39)+ISNUMBER('66fab14edc4c'!N39)+ISNUMBER(d9a84a7879b5!N39)+ISNUMBER(caf2b28627a3!N39)+ISNUMBER('602e9d1875d1'!N39)+ISNUMBER(f168037f7f37!N39)+ISNUMBER(eb071de1ab08!N39)+ISNUMBER('7b3bd85715a4'!N39)+ISNUMBER(e2a9b537c609!N39)+ISNUMBER(f97457958ce9!N39)+ISNUMBER('281fcc7d7eae'!N39)+ISNUMBER('01454b1cfeba'!N39)+ISNUMBER('79287892b1d7'!N39)+ISNUMBER('1b3f96535b56'!N39),"")</f>
        <v/>
      </c>
      <c r="U26" t="s">
        <v>60</v>
      </c>
      <c r="V26" t="s">
        <v>61</v>
      </c>
    </row>
    <row r="27" spans="2:22" ht="15.75" customHeight="1">
      <c r="F27" s="16" t="str">
        <f>F11</f>
        <v>Education and capacity bu…</v>
      </c>
      <c r="G27" s="17" t="str">
        <f>IF(ISNUMBER('1ae03038ed69'!C40)+ISNUMBER('1572eb063e5c'!C40)+ISNUMBER(b6ea66d78823!C40)+ISNUMBER('6d8dcb722ca4'!C40)+ISNUMBER('9306b30af184'!C40)+ISNUMBER('3b760aaeab13'!C40)+ISNUMBER(b2f4402deaee!C40)+ISNUMBER('1c4d314e87cd'!C40)+ISNUMBER(acd4708edfe6!C40)+ISNUMBER('9a32b1f50fb5'!C40)+ISNUMBER('2df562aa32e7'!C40)+ISNUMBER('3a5a3c04bd9d'!C40)+ISNUMBER('192241189337'!C40)+ISNUMBER('23a0423d7f40'!C40)+ISNUMBER('096252bb3796'!C40)+ISNUMBER(a53d1c7f9645!C40)+ISNUMBER('283d32631463'!C40)+ISNUMBER('1a542cfbf2c5'!C40)+ISNUMBER(cf262786a0e1!C40)+ISNUMBER('4b9efdeaeb40'!C40)+ISNUMBER('66fab14edc4c'!C40)+ISNUMBER(d9a84a7879b5!C40)+ISNUMBER(caf2b28627a3!C40)+ISNUMBER('602e9d1875d1'!C40)+ISNUMBER(f168037f7f37!C40)+ISNUMBER(eb071de1ab08!C40)+ISNUMBER('7b3bd85715a4'!C40)+ISNUMBER(e2a9b537c609!C40)+ISNUMBER(f97457958ce9!C40)+ISNUMBER('281fcc7d7eae'!C40)+ISNUMBER('01454b1cfeba'!C40)+ISNUMBER('79287892b1d7'!C40)+ISNUMBER('1b3f96535b56'!C40),ISNUMBER('1ae03038ed69'!C40)+ISNUMBER('1572eb063e5c'!C40)+ISNUMBER(b6ea66d78823!C40)+ISNUMBER('6d8dcb722ca4'!C40)+ISNUMBER('9306b30af184'!C40)+ISNUMBER('3b760aaeab13'!C40)+ISNUMBER(b2f4402deaee!C40)+ISNUMBER('1c4d314e87cd'!C40)+ISNUMBER(acd4708edfe6!C40)+ISNUMBER('9a32b1f50fb5'!C40)+ISNUMBER('2df562aa32e7'!C40)+ISNUMBER('3a5a3c04bd9d'!C40)+ISNUMBER('192241189337'!C40)+ISNUMBER('23a0423d7f40'!C40)+ISNUMBER('096252bb3796'!C40)+ISNUMBER(a53d1c7f9645!C40)+ISNUMBER('283d32631463'!C40)+ISNUMBER('1a542cfbf2c5'!C40)+ISNUMBER(cf262786a0e1!C40)+ISNUMBER('4b9efdeaeb40'!C40)+ISNUMBER('66fab14edc4c'!C40)+ISNUMBER(d9a84a7879b5!C40)+ISNUMBER(caf2b28627a3!C40)+ISNUMBER('602e9d1875d1'!C40)+ISNUMBER(f168037f7f37!C40)+ISNUMBER(eb071de1ab08!C40)+ISNUMBER('7b3bd85715a4'!C40)+ISNUMBER(e2a9b537c609!C40)+ISNUMBER(f97457958ce9!C40)+ISNUMBER('281fcc7d7eae'!C40)+ISNUMBER('01454b1cfeba'!C40)+ISNUMBER('79287892b1d7'!C40)+ISNUMBER('1b3f96535b56'!C40),"")</f>
        <v/>
      </c>
      <c r="H27" s="17" t="str">
        <f>IF(ISNUMBER('1ae03038ed69'!D40)+ISNUMBER('1572eb063e5c'!D40)+ISNUMBER(b6ea66d78823!D40)+ISNUMBER('6d8dcb722ca4'!D40)+ISNUMBER('9306b30af184'!D40)+ISNUMBER('3b760aaeab13'!D40)+ISNUMBER(b2f4402deaee!D40)+ISNUMBER('1c4d314e87cd'!D40)+ISNUMBER(acd4708edfe6!D40)+ISNUMBER('9a32b1f50fb5'!D40)+ISNUMBER('2df562aa32e7'!D40)+ISNUMBER('3a5a3c04bd9d'!D40)+ISNUMBER('192241189337'!D40)+ISNUMBER('23a0423d7f40'!D40)+ISNUMBER('096252bb3796'!D40)+ISNUMBER(a53d1c7f9645!D40)+ISNUMBER('283d32631463'!D40)+ISNUMBER('1a542cfbf2c5'!D40)+ISNUMBER(cf262786a0e1!D40)+ISNUMBER('4b9efdeaeb40'!D40)+ISNUMBER('66fab14edc4c'!D40)+ISNUMBER(d9a84a7879b5!D40)+ISNUMBER(caf2b28627a3!D40)+ISNUMBER('602e9d1875d1'!D40)+ISNUMBER(f168037f7f37!D40)+ISNUMBER(eb071de1ab08!D40)+ISNUMBER('7b3bd85715a4'!D40)+ISNUMBER(e2a9b537c609!D40)+ISNUMBER(f97457958ce9!D40)+ISNUMBER('281fcc7d7eae'!D40)+ISNUMBER('01454b1cfeba'!D40)+ISNUMBER('79287892b1d7'!D40)+ISNUMBER('1b3f96535b56'!D40),ISNUMBER('1ae03038ed69'!D40)+ISNUMBER('1572eb063e5c'!D40)+ISNUMBER(b6ea66d78823!D40)+ISNUMBER('6d8dcb722ca4'!D40)+ISNUMBER('9306b30af184'!D40)+ISNUMBER('3b760aaeab13'!D40)+ISNUMBER(b2f4402deaee!D40)+ISNUMBER('1c4d314e87cd'!D40)+ISNUMBER(acd4708edfe6!D40)+ISNUMBER('9a32b1f50fb5'!D40)+ISNUMBER('2df562aa32e7'!D40)+ISNUMBER('3a5a3c04bd9d'!D40)+ISNUMBER('192241189337'!D40)+ISNUMBER('23a0423d7f40'!D40)+ISNUMBER('096252bb3796'!D40)+ISNUMBER(a53d1c7f9645!D40)+ISNUMBER('283d32631463'!D40)+ISNUMBER('1a542cfbf2c5'!D40)+ISNUMBER(cf262786a0e1!D40)+ISNUMBER('4b9efdeaeb40'!D40)+ISNUMBER('66fab14edc4c'!D40)+ISNUMBER(d9a84a7879b5!D40)+ISNUMBER(caf2b28627a3!D40)+ISNUMBER('602e9d1875d1'!D40)+ISNUMBER(f168037f7f37!D40)+ISNUMBER(eb071de1ab08!D40)+ISNUMBER('7b3bd85715a4'!D40)+ISNUMBER(e2a9b537c609!D40)+ISNUMBER(f97457958ce9!D40)+ISNUMBER('281fcc7d7eae'!D40)+ISNUMBER('01454b1cfeba'!D40)+ISNUMBER('79287892b1d7'!D40)+ISNUMBER('1b3f96535b56'!D40),"")</f>
        <v/>
      </c>
      <c r="I27" s="18">
        <f>IF(ISNUMBER('1ae03038ed69'!E40)+ISNUMBER('1572eb063e5c'!E40)+ISNUMBER(b6ea66d78823!E40)+ISNUMBER('6d8dcb722ca4'!E40)+ISNUMBER('9306b30af184'!E40)+ISNUMBER('3b760aaeab13'!E40)+ISNUMBER(b2f4402deaee!E40)+ISNUMBER('1c4d314e87cd'!E40)+ISNUMBER(acd4708edfe6!E40)+ISNUMBER('9a32b1f50fb5'!E40)+ISNUMBER('2df562aa32e7'!E40)+ISNUMBER('3a5a3c04bd9d'!E40)+ISNUMBER('192241189337'!E40)+ISNUMBER('23a0423d7f40'!E40)+ISNUMBER('096252bb3796'!E40)+ISNUMBER(a53d1c7f9645!E40)+ISNUMBER('283d32631463'!E40)+ISNUMBER('1a542cfbf2c5'!E40)+ISNUMBER(cf262786a0e1!E40)+ISNUMBER('4b9efdeaeb40'!E40)+ISNUMBER('66fab14edc4c'!E40)+ISNUMBER(d9a84a7879b5!E40)+ISNUMBER(caf2b28627a3!E40)+ISNUMBER('602e9d1875d1'!E40)+ISNUMBER(f168037f7f37!E40)+ISNUMBER(eb071de1ab08!E40)+ISNUMBER('7b3bd85715a4'!E40)+ISNUMBER(e2a9b537c609!E40)+ISNUMBER(f97457958ce9!E40)+ISNUMBER('281fcc7d7eae'!E40)+ISNUMBER('01454b1cfeba'!E40)+ISNUMBER('79287892b1d7'!E40)+ISNUMBER('1b3f96535b56'!E40),ISNUMBER('1ae03038ed69'!E40)+ISNUMBER('1572eb063e5c'!E40)+ISNUMBER(b6ea66d78823!E40)+ISNUMBER('6d8dcb722ca4'!E40)+ISNUMBER('9306b30af184'!E40)+ISNUMBER('3b760aaeab13'!E40)+ISNUMBER(b2f4402deaee!E40)+ISNUMBER('1c4d314e87cd'!E40)+ISNUMBER(acd4708edfe6!E40)+ISNUMBER('9a32b1f50fb5'!E40)+ISNUMBER('2df562aa32e7'!E40)+ISNUMBER('3a5a3c04bd9d'!E40)+ISNUMBER('192241189337'!E40)+ISNUMBER('23a0423d7f40'!E40)+ISNUMBER('096252bb3796'!E40)+ISNUMBER(a53d1c7f9645!E40)+ISNUMBER('283d32631463'!E40)+ISNUMBER('1a542cfbf2c5'!E40)+ISNUMBER(cf262786a0e1!E40)+ISNUMBER('4b9efdeaeb40'!E40)+ISNUMBER('66fab14edc4c'!E40)+ISNUMBER(d9a84a7879b5!E40)+ISNUMBER(caf2b28627a3!E40)+ISNUMBER('602e9d1875d1'!E40)+ISNUMBER(f168037f7f37!E40)+ISNUMBER(eb071de1ab08!E40)+ISNUMBER('7b3bd85715a4'!E40)+ISNUMBER(e2a9b537c609!E40)+ISNUMBER(f97457958ce9!E40)+ISNUMBER('281fcc7d7eae'!E40)+ISNUMBER('01454b1cfeba'!E40)+ISNUMBER('79287892b1d7'!E40)+ISNUMBER('1b3f96535b56'!E40),"")</f>
        <v>3</v>
      </c>
      <c r="J27" s="18">
        <f>IF(ISNUMBER('1ae03038ed69'!F40)+ISNUMBER('1572eb063e5c'!F40)+ISNUMBER(b6ea66d78823!F40)+ISNUMBER('6d8dcb722ca4'!F40)+ISNUMBER('9306b30af184'!F40)+ISNUMBER('3b760aaeab13'!F40)+ISNUMBER(b2f4402deaee!F40)+ISNUMBER('1c4d314e87cd'!F40)+ISNUMBER(acd4708edfe6!F40)+ISNUMBER('9a32b1f50fb5'!F40)+ISNUMBER('2df562aa32e7'!F40)+ISNUMBER('3a5a3c04bd9d'!F40)+ISNUMBER('192241189337'!F40)+ISNUMBER('23a0423d7f40'!F40)+ISNUMBER('096252bb3796'!F40)+ISNUMBER(a53d1c7f9645!F40)+ISNUMBER('283d32631463'!F40)+ISNUMBER('1a542cfbf2c5'!F40)+ISNUMBER(cf262786a0e1!F40)+ISNUMBER('4b9efdeaeb40'!F40)+ISNUMBER('66fab14edc4c'!F40)+ISNUMBER(d9a84a7879b5!F40)+ISNUMBER(caf2b28627a3!F40)+ISNUMBER('602e9d1875d1'!F40)+ISNUMBER(f168037f7f37!F40)+ISNUMBER(eb071de1ab08!F40)+ISNUMBER('7b3bd85715a4'!F40)+ISNUMBER(e2a9b537c609!F40)+ISNUMBER(f97457958ce9!F40)+ISNUMBER('281fcc7d7eae'!F40)+ISNUMBER('01454b1cfeba'!F40)+ISNUMBER('79287892b1d7'!F40)+ISNUMBER('1b3f96535b56'!F40),ISNUMBER('1ae03038ed69'!F40)+ISNUMBER('1572eb063e5c'!F40)+ISNUMBER(b6ea66d78823!F40)+ISNUMBER('6d8dcb722ca4'!F40)+ISNUMBER('9306b30af184'!F40)+ISNUMBER('3b760aaeab13'!F40)+ISNUMBER(b2f4402deaee!F40)+ISNUMBER('1c4d314e87cd'!F40)+ISNUMBER(acd4708edfe6!F40)+ISNUMBER('9a32b1f50fb5'!F40)+ISNUMBER('2df562aa32e7'!F40)+ISNUMBER('3a5a3c04bd9d'!F40)+ISNUMBER('192241189337'!F40)+ISNUMBER('23a0423d7f40'!F40)+ISNUMBER('096252bb3796'!F40)+ISNUMBER(a53d1c7f9645!F40)+ISNUMBER('283d32631463'!F40)+ISNUMBER('1a542cfbf2c5'!F40)+ISNUMBER(cf262786a0e1!F40)+ISNUMBER('4b9efdeaeb40'!F40)+ISNUMBER('66fab14edc4c'!F40)+ISNUMBER(d9a84a7879b5!F40)+ISNUMBER(caf2b28627a3!F40)+ISNUMBER('602e9d1875d1'!F40)+ISNUMBER(f168037f7f37!F40)+ISNUMBER(eb071de1ab08!F40)+ISNUMBER('7b3bd85715a4'!F40)+ISNUMBER(e2a9b537c609!F40)+ISNUMBER(f97457958ce9!F40)+ISNUMBER('281fcc7d7eae'!F40)+ISNUMBER('01454b1cfeba'!F40)+ISNUMBER('79287892b1d7'!F40)+ISNUMBER('1b3f96535b56'!F40),"")</f>
        <v>1</v>
      </c>
      <c r="K27" s="17" t="str">
        <f>IF(ISNUMBER('1ae03038ed69'!G40)+ISNUMBER('1572eb063e5c'!G40)+ISNUMBER(b6ea66d78823!G40)+ISNUMBER('6d8dcb722ca4'!G40)+ISNUMBER('9306b30af184'!G40)+ISNUMBER('3b760aaeab13'!G40)+ISNUMBER(b2f4402deaee!G40)+ISNUMBER('1c4d314e87cd'!G40)+ISNUMBER(acd4708edfe6!G40)+ISNUMBER('9a32b1f50fb5'!G40)+ISNUMBER('2df562aa32e7'!G40)+ISNUMBER('3a5a3c04bd9d'!G40)+ISNUMBER('192241189337'!G40)+ISNUMBER('23a0423d7f40'!G40)+ISNUMBER('096252bb3796'!G40)+ISNUMBER(a53d1c7f9645!G40)+ISNUMBER('283d32631463'!G40)+ISNUMBER('1a542cfbf2c5'!G40)+ISNUMBER(cf262786a0e1!G40)+ISNUMBER('4b9efdeaeb40'!G40)+ISNUMBER('66fab14edc4c'!G40)+ISNUMBER(d9a84a7879b5!G40)+ISNUMBER(caf2b28627a3!G40)+ISNUMBER('602e9d1875d1'!G40)+ISNUMBER(f168037f7f37!G40)+ISNUMBER(eb071de1ab08!G40)+ISNUMBER('7b3bd85715a4'!G40)+ISNUMBER(e2a9b537c609!G40)+ISNUMBER(f97457958ce9!G40)+ISNUMBER('281fcc7d7eae'!G40)+ISNUMBER('01454b1cfeba'!G40)+ISNUMBER('79287892b1d7'!G40)+ISNUMBER('1b3f96535b56'!G40),ISNUMBER('1ae03038ed69'!G40)+ISNUMBER('1572eb063e5c'!G40)+ISNUMBER(b6ea66d78823!G40)+ISNUMBER('6d8dcb722ca4'!G40)+ISNUMBER('9306b30af184'!G40)+ISNUMBER('3b760aaeab13'!G40)+ISNUMBER(b2f4402deaee!G40)+ISNUMBER('1c4d314e87cd'!G40)+ISNUMBER(acd4708edfe6!G40)+ISNUMBER('9a32b1f50fb5'!G40)+ISNUMBER('2df562aa32e7'!G40)+ISNUMBER('3a5a3c04bd9d'!G40)+ISNUMBER('192241189337'!G40)+ISNUMBER('23a0423d7f40'!G40)+ISNUMBER('096252bb3796'!G40)+ISNUMBER(a53d1c7f9645!G40)+ISNUMBER('283d32631463'!G40)+ISNUMBER('1a542cfbf2c5'!G40)+ISNUMBER(cf262786a0e1!G40)+ISNUMBER('4b9efdeaeb40'!G40)+ISNUMBER('66fab14edc4c'!G40)+ISNUMBER(d9a84a7879b5!G40)+ISNUMBER(caf2b28627a3!G40)+ISNUMBER('602e9d1875d1'!G40)+ISNUMBER(f168037f7f37!G40)+ISNUMBER(eb071de1ab08!G40)+ISNUMBER('7b3bd85715a4'!G40)+ISNUMBER(e2a9b537c609!G40)+ISNUMBER(f97457958ce9!G40)+ISNUMBER('281fcc7d7eae'!G40)+ISNUMBER('01454b1cfeba'!G40)+ISNUMBER('79287892b1d7'!G40)+ISNUMBER('1b3f96535b56'!G40),"")</f>
        <v/>
      </c>
      <c r="L27" s="17" t="str">
        <f>IF(ISNUMBER('1ae03038ed69'!H40)+ISNUMBER('1572eb063e5c'!H40)+ISNUMBER(b6ea66d78823!H40)+ISNUMBER('6d8dcb722ca4'!H40)+ISNUMBER('9306b30af184'!H40)+ISNUMBER('3b760aaeab13'!H40)+ISNUMBER(b2f4402deaee!H40)+ISNUMBER('1c4d314e87cd'!H40)+ISNUMBER(acd4708edfe6!H40)+ISNUMBER('9a32b1f50fb5'!H40)+ISNUMBER('2df562aa32e7'!H40)+ISNUMBER('3a5a3c04bd9d'!H40)+ISNUMBER('192241189337'!H40)+ISNUMBER('23a0423d7f40'!H40)+ISNUMBER('096252bb3796'!H40)+ISNUMBER(a53d1c7f9645!H40)+ISNUMBER('283d32631463'!H40)+ISNUMBER('1a542cfbf2c5'!H40)+ISNUMBER(cf262786a0e1!H40)+ISNUMBER('4b9efdeaeb40'!H40)+ISNUMBER('66fab14edc4c'!H40)+ISNUMBER(d9a84a7879b5!H40)+ISNUMBER(caf2b28627a3!H40)+ISNUMBER('602e9d1875d1'!H40)+ISNUMBER(f168037f7f37!H40)+ISNUMBER(eb071de1ab08!H40)+ISNUMBER('7b3bd85715a4'!H40)+ISNUMBER(e2a9b537c609!H40)+ISNUMBER(f97457958ce9!H40)+ISNUMBER('281fcc7d7eae'!H40)+ISNUMBER('01454b1cfeba'!H40)+ISNUMBER('79287892b1d7'!H40)+ISNUMBER('1b3f96535b56'!H40),ISNUMBER('1ae03038ed69'!H40)+ISNUMBER('1572eb063e5c'!H40)+ISNUMBER(b6ea66d78823!H40)+ISNUMBER('6d8dcb722ca4'!H40)+ISNUMBER('9306b30af184'!H40)+ISNUMBER('3b760aaeab13'!H40)+ISNUMBER(b2f4402deaee!H40)+ISNUMBER('1c4d314e87cd'!H40)+ISNUMBER(acd4708edfe6!H40)+ISNUMBER('9a32b1f50fb5'!H40)+ISNUMBER('2df562aa32e7'!H40)+ISNUMBER('3a5a3c04bd9d'!H40)+ISNUMBER('192241189337'!H40)+ISNUMBER('23a0423d7f40'!H40)+ISNUMBER('096252bb3796'!H40)+ISNUMBER(a53d1c7f9645!H40)+ISNUMBER('283d32631463'!H40)+ISNUMBER('1a542cfbf2c5'!H40)+ISNUMBER(cf262786a0e1!H40)+ISNUMBER('4b9efdeaeb40'!H40)+ISNUMBER('66fab14edc4c'!H40)+ISNUMBER(d9a84a7879b5!H40)+ISNUMBER(caf2b28627a3!H40)+ISNUMBER('602e9d1875d1'!H40)+ISNUMBER(f168037f7f37!H40)+ISNUMBER(eb071de1ab08!H40)+ISNUMBER('7b3bd85715a4'!H40)+ISNUMBER(e2a9b537c609!H40)+ISNUMBER(f97457958ce9!H40)+ISNUMBER('281fcc7d7eae'!H40)+ISNUMBER('01454b1cfeba'!H40)+ISNUMBER('79287892b1d7'!H40)+ISNUMBER('1b3f96535b56'!H40),"")</f>
        <v/>
      </c>
      <c r="M27" s="18" t="str">
        <f>IF(ISNUMBER('1ae03038ed69'!I40)+ISNUMBER('1572eb063e5c'!I40)+ISNUMBER(b6ea66d78823!I40)+ISNUMBER('6d8dcb722ca4'!I40)+ISNUMBER('9306b30af184'!I40)+ISNUMBER('3b760aaeab13'!I40)+ISNUMBER(b2f4402deaee!I40)+ISNUMBER('1c4d314e87cd'!I40)+ISNUMBER(acd4708edfe6!I40)+ISNUMBER('9a32b1f50fb5'!I40)+ISNUMBER('2df562aa32e7'!I40)+ISNUMBER('3a5a3c04bd9d'!I40)+ISNUMBER('192241189337'!I40)+ISNUMBER('23a0423d7f40'!I40)+ISNUMBER('096252bb3796'!I40)+ISNUMBER(a53d1c7f9645!I40)+ISNUMBER('283d32631463'!I40)+ISNUMBER('1a542cfbf2c5'!I40)+ISNUMBER(cf262786a0e1!I40)+ISNUMBER('4b9efdeaeb40'!I40)+ISNUMBER('66fab14edc4c'!I40)+ISNUMBER(d9a84a7879b5!I40)+ISNUMBER(caf2b28627a3!I40)+ISNUMBER('602e9d1875d1'!I40)+ISNUMBER(f168037f7f37!I40)+ISNUMBER(eb071de1ab08!I40)+ISNUMBER('7b3bd85715a4'!I40)+ISNUMBER(e2a9b537c609!I40)+ISNUMBER(f97457958ce9!I40)+ISNUMBER('281fcc7d7eae'!I40)+ISNUMBER('01454b1cfeba'!I40)+ISNUMBER('79287892b1d7'!I40)+ISNUMBER('1b3f96535b56'!I40),ISNUMBER('1ae03038ed69'!I40)+ISNUMBER('1572eb063e5c'!I40)+ISNUMBER(b6ea66d78823!I40)+ISNUMBER('6d8dcb722ca4'!I40)+ISNUMBER('9306b30af184'!I40)+ISNUMBER('3b760aaeab13'!I40)+ISNUMBER(b2f4402deaee!I40)+ISNUMBER('1c4d314e87cd'!I40)+ISNUMBER(acd4708edfe6!I40)+ISNUMBER('9a32b1f50fb5'!I40)+ISNUMBER('2df562aa32e7'!I40)+ISNUMBER('3a5a3c04bd9d'!I40)+ISNUMBER('192241189337'!I40)+ISNUMBER('23a0423d7f40'!I40)+ISNUMBER('096252bb3796'!I40)+ISNUMBER(a53d1c7f9645!I40)+ISNUMBER('283d32631463'!I40)+ISNUMBER('1a542cfbf2c5'!I40)+ISNUMBER(cf262786a0e1!I40)+ISNUMBER('4b9efdeaeb40'!I40)+ISNUMBER('66fab14edc4c'!I40)+ISNUMBER(d9a84a7879b5!I40)+ISNUMBER(caf2b28627a3!I40)+ISNUMBER('602e9d1875d1'!I40)+ISNUMBER(f168037f7f37!I40)+ISNUMBER(eb071de1ab08!I40)+ISNUMBER('7b3bd85715a4'!I40)+ISNUMBER(e2a9b537c609!I40)+ISNUMBER(f97457958ce9!I40)+ISNUMBER('281fcc7d7eae'!I40)+ISNUMBER('01454b1cfeba'!I40)+ISNUMBER('79287892b1d7'!I40)+ISNUMBER('1b3f96535b56'!I40),"")</f>
        <v/>
      </c>
      <c r="N27" s="18" t="str">
        <f>IF(ISNUMBER('1ae03038ed69'!J40)+ISNUMBER('1572eb063e5c'!J40)+ISNUMBER(b6ea66d78823!J40)+ISNUMBER('6d8dcb722ca4'!J40)+ISNUMBER('9306b30af184'!J40)+ISNUMBER('3b760aaeab13'!J40)+ISNUMBER(b2f4402deaee!J40)+ISNUMBER('1c4d314e87cd'!J40)+ISNUMBER(acd4708edfe6!J40)+ISNUMBER('9a32b1f50fb5'!J40)+ISNUMBER('2df562aa32e7'!J40)+ISNUMBER('3a5a3c04bd9d'!J40)+ISNUMBER('192241189337'!J40)+ISNUMBER('23a0423d7f40'!J40)+ISNUMBER('096252bb3796'!J40)+ISNUMBER(a53d1c7f9645!J40)+ISNUMBER('283d32631463'!J40)+ISNUMBER('1a542cfbf2c5'!J40)+ISNUMBER(cf262786a0e1!J40)+ISNUMBER('4b9efdeaeb40'!J40)+ISNUMBER('66fab14edc4c'!J40)+ISNUMBER(d9a84a7879b5!J40)+ISNUMBER(caf2b28627a3!J40)+ISNUMBER('602e9d1875d1'!J40)+ISNUMBER(f168037f7f37!J40)+ISNUMBER(eb071de1ab08!J40)+ISNUMBER('7b3bd85715a4'!J40)+ISNUMBER(e2a9b537c609!J40)+ISNUMBER(f97457958ce9!J40)+ISNUMBER('281fcc7d7eae'!J40)+ISNUMBER('01454b1cfeba'!J40)+ISNUMBER('79287892b1d7'!J40)+ISNUMBER('1b3f96535b56'!J40),ISNUMBER('1ae03038ed69'!J40)+ISNUMBER('1572eb063e5c'!J40)+ISNUMBER(b6ea66d78823!J40)+ISNUMBER('6d8dcb722ca4'!J40)+ISNUMBER('9306b30af184'!J40)+ISNUMBER('3b760aaeab13'!J40)+ISNUMBER(b2f4402deaee!J40)+ISNUMBER('1c4d314e87cd'!J40)+ISNUMBER(acd4708edfe6!J40)+ISNUMBER('9a32b1f50fb5'!J40)+ISNUMBER('2df562aa32e7'!J40)+ISNUMBER('3a5a3c04bd9d'!J40)+ISNUMBER('192241189337'!J40)+ISNUMBER('23a0423d7f40'!J40)+ISNUMBER('096252bb3796'!J40)+ISNUMBER(a53d1c7f9645!J40)+ISNUMBER('283d32631463'!J40)+ISNUMBER('1a542cfbf2c5'!J40)+ISNUMBER(cf262786a0e1!J40)+ISNUMBER('4b9efdeaeb40'!J40)+ISNUMBER('66fab14edc4c'!J40)+ISNUMBER(d9a84a7879b5!J40)+ISNUMBER(caf2b28627a3!J40)+ISNUMBER('602e9d1875d1'!J40)+ISNUMBER(f168037f7f37!J40)+ISNUMBER(eb071de1ab08!J40)+ISNUMBER('7b3bd85715a4'!J40)+ISNUMBER(e2a9b537c609!J40)+ISNUMBER(f97457958ce9!J40)+ISNUMBER('281fcc7d7eae'!J40)+ISNUMBER('01454b1cfeba'!J40)+ISNUMBER('79287892b1d7'!J40)+ISNUMBER('1b3f96535b56'!J40),"")</f>
        <v/>
      </c>
      <c r="O27" s="17" t="str">
        <f>IF(ISNUMBER('1ae03038ed69'!K40)+ISNUMBER('1572eb063e5c'!K40)+ISNUMBER(b6ea66d78823!K40)+ISNUMBER('6d8dcb722ca4'!K40)+ISNUMBER('9306b30af184'!K40)+ISNUMBER('3b760aaeab13'!K40)+ISNUMBER(b2f4402deaee!K40)+ISNUMBER('1c4d314e87cd'!K40)+ISNUMBER(acd4708edfe6!K40)+ISNUMBER('9a32b1f50fb5'!K40)+ISNUMBER('2df562aa32e7'!K40)+ISNUMBER('3a5a3c04bd9d'!K40)+ISNUMBER('192241189337'!K40)+ISNUMBER('23a0423d7f40'!K40)+ISNUMBER('096252bb3796'!K40)+ISNUMBER(a53d1c7f9645!K40)+ISNUMBER('283d32631463'!K40)+ISNUMBER('1a542cfbf2c5'!K40)+ISNUMBER(cf262786a0e1!K40)+ISNUMBER('4b9efdeaeb40'!K40)+ISNUMBER('66fab14edc4c'!K40)+ISNUMBER(d9a84a7879b5!K40)+ISNUMBER(caf2b28627a3!K40)+ISNUMBER('602e9d1875d1'!K40)+ISNUMBER(f168037f7f37!K40)+ISNUMBER(eb071de1ab08!K40)+ISNUMBER('7b3bd85715a4'!K40)+ISNUMBER(e2a9b537c609!K40)+ISNUMBER(f97457958ce9!K40)+ISNUMBER('281fcc7d7eae'!K40)+ISNUMBER('01454b1cfeba'!K40)+ISNUMBER('79287892b1d7'!K40)+ISNUMBER('1b3f96535b56'!K40),ISNUMBER('1ae03038ed69'!K40)+ISNUMBER('1572eb063e5c'!K40)+ISNUMBER(b6ea66d78823!K40)+ISNUMBER('6d8dcb722ca4'!K40)+ISNUMBER('9306b30af184'!K40)+ISNUMBER('3b760aaeab13'!K40)+ISNUMBER(b2f4402deaee!K40)+ISNUMBER('1c4d314e87cd'!K40)+ISNUMBER(acd4708edfe6!K40)+ISNUMBER('9a32b1f50fb5'!K40)+ISNUMBER('2df562aa32e7'!K40)+ISNUMBER('3a5a3c04bd9d'!K40)+ISNUMBER('192241189337'!K40)+ISNUMBER('23a0423d7f40'!K40)+ISNUMBER('096252bb3796'!K40)+ISNUMBER(a53d1c7f9645!K40)+ISNUMBER('283d32631463'!K40)+ISNUMBER('1a542cfbf2c5'!K40)+ISNUMBER(cf262786a0e1!K40)+ISNUMBER('4b9efdeaeb40'!K40)+ISNUMBER('66fab14edc4c'!K40)+ISNUMBER(d9a84a7879b5!K40)+ISNUMBER(caf2b28627a3!K40)+ISNUMBER('602e9d1875d1'!K40)+ISNUMBER(f168037f7f37!K40)+ISNUMBER(eb071de1ab08!K40)+ISNUMBER('7b3bd85715a4'!K40)+ISNUMBER(e2a9b537c609!K40)+ISNUMBER(f97457958ce9!K40)+ISNUMBER('281fcc7d7eae'!K40)+ISNUMBER('01454b1cfeba'!K40)+ISNUMBER('79287892b1d7'!K40)+ISNUMBER('1b3f96535b56'!K40),"")</f>
        <v/>
      </c>
      <c r="P27" s="17">
        <f>IF(ISNUMBER('1ae03038ed69'!L40)+ISNUMBER('1572eb063e5c'!L40)+ISNUMBER(b6ea66d78823!L40)+ISNUMBER('6d8dcb722ca4'!L40)+ISNUMBER('9306b30af184'!L40)+ISNUMBER('3b760aaeab13'!L40)+ISNUMBER(b2f4402deaee!L40)+ISNUMBER('1c4d314e87cd'!L40)+ISNUMBER(acd4708edfe6!L40)+ISNUMBER('9a32b1f50fb5'!L40)+ISNUMBER('2df562aa32e7'!L40)+ISNUMBER('3a5a3c04bd9d'!L40)+ISNUMBER('192241189337'!L40)+ISNUMBER('23a0423d7f40'!L40)+ISNUMBER('096252bb3796'!L40)+ISNUMBER(a53d1c7f9645!L40)+ISNUMBER('283d32631463'!L40)+ISNUMBER('1a542cfbf2c5'!L40)+ISNUMBER(cf262786a0e1!L40)+ISNUMBER('4b9efdeaeb40'!L40)+ISNUMBER('66fab14edc4c'!L40)+ISNUMBER(d9a84a7879b5!L40)+ISNUMBER(caf2b28627a3!L40)+ISNUMBER('602e9d1875d1'!L40)+ISNUMBER(f168037f7f37!L40)+ISNUMBER(eb071de1ab08!L40)+ISNUMBER('7b3bd85715a4'!L40)+ISNUMBER(e2a9b537c609!L40)+ISNUMBER(f97457958ce9!L40)+ISNUMBER('281fcc7d7eae'!L40)+ISNUMBER('01454b1cfeba'!L40)+ISNUMBER('79287892b1d7'!L40)+ISNUMBER('1b3f96535b56'!L40),ISNUMBER('1ae03038ed69'!L40)+ISNUMBER('1572eb063e5c'!L40)+ISNUMBER(b6ea66d78823!L40)+ISNUMBER('6d8dcb722ca4'!L40)+ISNUMBER('9306b30af184'!L40)+ISNUMBER('3b760aaeab13'!L40)+ISNUMBER(b2f4402deaee!L40)+ISNUMBER('1c4d314e87cd'!L40)+ISNUMBER(acd4708edfe6!L40)+ISNUMBER('9a32b1f50fb5'!L40)+ISNUMBER('2df562aa32e7'!L40)+ISNUMBER('3a5a3c04bd9d'!L40)+ISNUMBER('192241189337'!L40)+ISNUMBER('23a0423d7f40'!L40)+ISNUMBER('096252bb3796'!L40)+ISNUMBER(a53d1c7f9645!L40)+ISNUMBER('283d32631463'!L40)+ISNUMBER('1a542cfbf2c5'!L40)+ISNUMBER(cf262786a0e1!L40)+ISNUMBER('4b9efdeaeb40'!L40)+ISNUMBER('66fab14edc4c'!L40)+ISNUMBER(d9a84a7879b5!L40)+ISNUMBER(caf2b28627a3!L40)+ISNUMBER('602e9d1875d1'!L40)+ISNUMBER(f168037f7f37!L40)+ISNUMBER(eb071de1ab08!L40)+ISNUMBER('7b3bd85715a4'!L40)+ISNUMBER(e2a9b537c609!L40)+ISNUMBER(f97457958ce9!L40)+ISNUMBER('281fcc7d7eae'!L40)+ISNUMBER('01454b1cfeba'!L40)+ISNUMBER('79287892b1d7'!L40)+ISNUMBER('1b3f96535b56'!L40),"")</f>
        <v>1</v>
      </c>
      <c r="Q27" s="18">
        <f>IF(ISNUMBER('1ae03038ed69'!M40)+ISNUMBER('1572eb063e5c'!M40)+ISNUMBER(b6ea66d78823!M40)+ISNUMBER('6d8dcb722ca4'!M40)+ISNUMBER('9306b30af184'!M40)+ISNUMBER('3b760aaeab13'!M40)+ISNUMBER(b2f4402deaee!M40)+ISNUMBER('1c4d314e87cd'!M40)+ISNUMBER(acd4708edfe6!M40)+ISNUMBER('9a32b1f50fb5'!M40)+ISNUMBER('2df562aa32e7'!M40)+ISNUMBER('3a5a3c04bd9d'!M40)+ISNUMBER('192241189337'!M40)+ISNUMBER('23a0423d7f40'!M40)+ISNUMBER('096252bb3796'!M40)+ISNUMBER(a53d1c7f9645!M40)+ISNUMBER('283d32631463'!M40)+ISNUMBER('1a542cfbf2c5'!M40)+ISNUMBER(cf262786a0e1!M40)+ISNUMBER('4b9efdeaeb40'!M40)+ISNUMBER('66fab14edc4c'!M40)+ISNUMBER(d9a84a7879b5!M40)+ISNUMBER(caf2b28627a3!M40)+ISNUMBER('602e9d1875d1'!M40)+ISNUMBER(f168037f7f37!M40)+ISNUMBER(eb071de1ab08!M40)+ISNUMBER('7b3bd85715a4'!M40)+ISNUMBER(e2a9b537c609!M40)+ISNUMBER(f97457958ce9!M40)+ISNUMBER('281fcc7d7eae'!M40)+ISNUMBER('01454b1cfeba'!M40)+ISNUMBER('79287892b1d7'!M40)+ISNUMBER('1b3f96535b56'!M40),ISNUMBER('1ae03038ed69'!M40)+ISNUMBER('1572eb063e5c'!M40)+ISNUMBER(b6ea66d78823!M40)+ISNUMBER('6d8dcb722ca4'!M40)+ISNUMBER('9306b30af184'!M40)+ISNUMBER('3b760aaeab13'!M40)+ISNUMBER(b2f4402deaee!M40)+ISNUMBER('1c4d314e87cd'!M40)+ISNUMBER(acd4708edfe6!M40)+ISNUMBER('9a32b1f50fb5'!M40)+ISNUMBER('2df562aa32e7'!M40)+ISNUMBER('3a5a3c04bd9d'!M40)+ISNUMBER('192241189337'!M40)+ISNUMBER('23a0423d7f40'!M40)+ISNUMBER('096252bb3796'!M40)+ISNUMBER(a53d1c7f9645!M40)+ISNUMBER('283d32631463'!M40)+ISNUMBER('1a542cfbf2c5'!M40)+ISNUMBER(cf262786a0e1!M40)+ISNUMBER('4b9efdeaeb40'!M40)+ISNUMBER('66fab14edc4c'!M40)+ISNUMBER(d9a84a7879b5!M40)+ISNUMBER(caf2b28627a3!M40)+ISNUMBER('602e9d1875d1'!M40)+ISNUMBER(f168037f7f37!M40)+ISNUMBER(eb071de1ab08!M40)+ISNUMBER('7b3bd85715a4'!M40)+ISNUMBER(e2a9b537c609!M40)+ISNUMBER(f97457958ce9!M40)+ISNUMBER('281fcc7d7eae'!M40)+ISNUMBER('01454b1cfeba'!M40)+ISNUMBER('79287892b1d7'!M40)+ISNUMBER('1b3f96535b56'!M40),"")</f>
        <v>1</v>
      </c>
      <c r="R27" s="18" t="str">
        <f>IF(ISNUMBER('1ae03038ed69'!N40)+ISNUMBER('1572eb063e5c'!N40)+ISNUMBER(b6ea66d78823!N40)+ISNUMBER('6d8dcb722ca4'!N40)+ISNUMBER('9306b30af184'!N40)+ISNUMBER('3b760aaeab13'!N40)+ISNUMBER(b2f4402deaee!N40)+ISNUMBER('1c4d314e87cd'!N40)+ISNUMBER(acd4708edfe6!N40)+ISNUMBER('9a32b1f50fb5'!N40)+ISNUMBER('2df562aa32e7'!N40)+ISNUMBER('3a5a3c04bd9d'!N40)+ISNUMBER('192241189337'!N40)+ISNUMBER('23a0423d7f40'!N40)+ISNUMBER('096252bb3796'!N40)+ISNUMBER(a53d1c7f9645!N40)+ISNUMBER('283d32631463'!N40)+ISNUMBER('1a542cfbf2c5'!N40)+ISNUMBER(cf262786a0e1!N40)+ISNUMBER('4b9efdeaeb40'!N40)+ISNUMBER('66fab14edc4c'!N40)+ISNUMBER(d9a84a7879b5!N40)+ISNUMBER(caf2b28627a3!N40)+ISNUMBER('602e9d1875d1'!N40)+ISNUMBER(f168037f7f37!N40)+ISNUMBER(eb071de1ab08!N40)+ISNUMBER('7b3bd85715a4'!N40)+ISNUMBER(e2a9b537c609!N40)+ISNUMBER(f97457958ce9!N40)+ISNUMBER('281fcc7d7eae'!N40)+ISNUMBER('01454b1cfeba'!N40)+ISNUMBER('79287892b1d7'!N40)+ISNUMBER('1b3f96535b56'!N40),ISNUMBER('1ae03038ed69'!N40)+ISNUMBER('1572eb063e5c'!N40)+ISNUMBER(b6ea66d78823!N40)+ISNUMBER('6d8dcb722ca4'!N40)+ISNUMBER('9306b30af184'!N40)+ISNUMBER('3b760aaeab13'!N40)+ISNUMBER(b2f4402deaee!N40)+ISNUMBER('1c4d314e87cd'!N40)+ISNUMBER(acd4708edfe6!N40)+ISNUMBER('9a32b1f50fb5'!N40)+ISNUMBER('2df562aa32e7'!N40)+ISNUMBER('3a5a3c04bd9d'!N40)+ISNUMBER('192241189337'!N40)+ISNUMBER('23a0423d7f40'!N40)+ISNUMBER('096252bb3796'!N40)+ISNUMBER(a53d1c7f9645!N40)+ISNUMBER('283d32631463'!N40)+ISNUMBER('1a542cfbf2c5'!N40)+ISNUMBER(cf262786a0e1!N40)+ISNUMBER('4b9efdeaeb40'!N40)+ISNUMBER('66fab14edc4c'!N40)+ISNUMBER(d9a84a7879b5!N40)+ISNUMBER(caf2b28627a3!N40)+ISNUMBER('602e9d1875d1'!N40)+ISNUMBER(f168037f7f37!N40)+ISNUMBER(eb071de1ab08!N40)+ISNUMBER('7b3bd85715a4'!N40)+ISNUMBER(e2a9b537c609!N40)+ISNUMBER(f97457958ce9!N40)+ISNUMBER('281fcc7d7eae'!N40)+ISNUMBER('01454b1cfeba'!N40)+ISNUMBER('79287892b1d7'!N40)+ISNUMBER('1b3f96535b56'!N40),"")</f>
        <v/>
      </c>
      <c r="U27" t="s">
        <v>62</v>
      </c>
      <c r="V27" t="s">
        <v>63</v>
      </c>
    </row>
    <row r="28" spans="2:22" ht="15.75" customHeight="1">
      <c r="F28" s="16" t="str">
        <f>F12</f>
        <v>Innovation, creativity an…</v>
      </c>
      <c r="G28" s="17">
        <f>IF(ISNUMBER('1ae03038ed69'!C41)+ISNUMBER('1572eb063e5c'!C41)+ISNUMBER(b6ea66d78823!C41)+ISNUMBER('6d8dcb722ca4'!C41)+ISNUMBER('9306b30af184'!C41)+ISNUMBER('3b760aaeab13'!C41)+ISNUMBER(b2f4402deaee!C41)+ISNUMBER('1c4d314e87cd'!C41)+ISNUMBER(acd4708edfe6!C41)+ISNUMBER('9a32b1f50fb5'!C41)+ISNUMBER('2df562aa32e7'!C41)+ISNUMBER('3a5a3c04bd9d'!C41)+ISNUMBER('192241189337'!C41)+ISNUMBER('23a0423d7f40'!C41)+ISNUMBER('096252bb3796'!C41)+ISNUMBER(a53d1c7f9645!C41)+ISNUMBER('283d32631463'!C41)+ISNUMBER('1a542cfbf2c5'!C41)+ISNUMBER(cf262786a0e1!C41)+ISNUMBER('4b9efdeaeb40'!C41)+ISNUMBER('66fab14edc4c'!C41)+ISNUMBER(d9a84a7879b5!C41)+ISNUMBER(caf2b28627a3!C41)+ISNUMBER('602e9d1875d1'!C41)+ISNUMBER(f168037f7f37!C41)+ISNUMBER(eb071de1ab08!C41)+ISNUMBER('7b3bd85715a4'!C41)+ISNUMBER(e2a9b537c609!C41)+ISNUMBER(f97457958ce9!C41)+ISNUMBER('281fcc7d7eae'!C41)+ISNUMBER('01454b1cfeba'!C41)+ISNUMBER('79287892b1d7'!C41)+ISNUMBER('1b3f96535b56'!C41),ISNUMBER('1ae03038ed69'!C41)+ISNUMBER('1572eb063e5c'!C41)+ISNUMBER(b6ea66d78823!C41)+ISNUMBER('6d8dcb722ca4'!C41)+ISNUMBER('9306b30af184'!C41)+ISNUMBER('3b760aaeab13'!C41)+ISNUMBER(b2f4402deaee!C41)+ISNUMBER('1c4d314e87cd'!C41)+ISNUMBER(acd4708edfe6!C41)+ISNUMBER('9a32b1f50fb5'!C41)+ISNUMBER('2df562aa32e7'!C41)+ISNUMBER('3a5a3c04bd9d'!C41)+ISNUMBER('192241189337'!C41)+ISNUMBER('23a0423d7f40'!C41)+ISNUMBER('096252bb3796'!C41)+ISNUMBER(a53d1c7f9645!C41)+ISNUMBER('283d32631463'!C41)+ISNUMBER('1a542cfbf2c5'!C41)+ISNUMBER(cf262786a0e1!C41)+ISNUMBER('4b9efdeaeb40'!C41)+ISNUMBER('66fab14edc4c'!C41)+ISNUMBER(d9a84a7879b5!C41)+ISNUMBER(caf2b28627a3!C41)+ISNUMBER('602e9d1875d1'!C41)+ISNUMBER(f168037f7f37!C41)+ISNUMBER(eb071de1ab08!C41)+ISNUMBER('7b3bd85715a4'!C41)+ISNUMBER(e2a9b537c609!C41)+ISNUMBER(f97457958ce9!C41)+ISNUMBER('281fcc7d7eae'!C41)+ISNUMBER('01454b1cfeba'!C41)+ISNUMBER('79287892b1d7'!C41)+ISNUMBER('1b3f96535b56'!C41),"")</f>
        <v>1</v>
      </c>
      <c r="H28" s="17">
        <f>IF(ISNUMBER('1ae03038ed69'!D41)+ISNUMBER('1572eb063e5c'!D41)+ISNUMBER(b6ea66d78823!D41)+ISNUMBER('6d8dcb722ca4'!D41)+ISNUMBER('9306b30af184'!D41)+ISNUMBER('3b760aaeab13'!D41)+ISNUMBER(b2f4402deaee!D41)+ISNUMBER('1c4d314e87cd'!D41)+ISNUMBER(acd4708edfe6!D41)+ISNUMBER('9a32b1f50fb5'!D41)+ISNUMBER('2df562aa32e7'!D41)+ISNUMBER('3a5a3c04bd9d'!D41)+ISNUMBER('192241189337'!D41)+ISNUMBER('23a0423d7f40'!D41)+ISNUMBER('096252bb3796'!D41)+ISNUMBER(a53d1c7f9645!D41)+ISNUMBER('283d32631463'!D41)+ISNUMBER('1a542cfbf2c5'!D41)+ISNUMBER(cf262786a0e1!D41)+ISNUMBER('4b9efdeaeb40'!D41)+ISNUMBER('66fab14edc4c'!D41)+ISNUMBER(d9a84a7879b5!D41)+ISNUMBER(caf2b28627a3!D41)+ISNUMBER('602e9d1875d1'!D41)+ISNUMBER(f168037f7f37!D41)+ISNUMBER(eb071de1ab08!D41)+ISNUMBER('7b3bd85715a4'!D41)+ISNUMBER(e2a9b537c609!D41)+ISNUMBER(f97457958ce9!D41)+ISNUMBER('281fcc7d7eae'!D41)+ISNUMBER('01454b1cfeba'!D41)+ISNUMBER('79287892b1d7'!D41)+ISNUMBER('1b3f96535b56'!D41),ISNUMBER('1ae03038ed69'!D41)+ISNUMBER('1572eb063e5c'!D41)+ISNUMBER(b6ea66d78823!D41)+ISNUMBER('6d8dcb722ca4'!D41)+ISNUMBER('9306b30af184'!D41)+ISNUMBER('3b760aaeab13'!D41)+ISNUMBER(b2f4402deaee!D41)+ISNUMBER('1c4d314e87cd'!D41)+ISNUMBER(acd4708edfe6!D41)+ISNUMBER('9a32b1f50fb5'!D41)+ISNUMBER('2df562aa32e7'!D41)+ISNUMBER('3a5a3c04bd9d'!D41)+ISNUMBER('192241189337'!D41)+ISNUMBER('23a0423d7f40'!D41)+ISNUMBER('096252bb3796'!D41)+ISNUMBER(a53d1c7f9645!D41)+ISNUMBER('283d32631463'!D41)+ISNUMBER('1a542cfbf2c5'!D41)+ISNUMBER(cf262786a0e1!D41)+ISNUMBER('4b9efdeaeb40'!D41)+ISNUMBER('66fab14edc4c'!D41)+ISNUMBER(d9a84a7879b5!D41)+ISNUMBER(caf2b28627a3!D41)+ISNUMBER('602e9d1875d1'!D41)+ISNUMBER(f168037f7f37!D41)+ISNUMBER(eb071de1ab08!D41)+ISNUMBER('7b3bd85715a4'!D41)+ISNUMBER(e2a9b537c609!D41)+ISNUMBER(f97457958ce9!D41)+ISNUMBER('281fcc7d7eae'!D41)+ISNUMBER('01454b1cfeba'!D41)+ISNUMBER('79287892b1d7'!D41)+ISNUMBER('1b3f96535b56'!D41),"")</f>
        <v>1</v>
      </c>
      <c r="I28" s="18">
        <f>IF(ISNUMBER('1ae03038ed69'!E41)+ISNUMBER('1572eb063e5c'!E41)+ISNUMBER(b6ea66d78823!E41)+ISNUMBER('6d8dcb722ca4'!E41)+ISNUMBER('9306b30af184'!E41)+ISNUMBER('3b760aaeab13'!E41)+ISNUMBER(b2f4402deaee!E41)+ISNUMBER('1c4d314e87cd'!E41)+ISNUMBER(acd4708edfe6!E41)+ISNUMBER('9a32b1f50fb5'!E41)+ISNUMBER('2df562aa32e7'!E41)+ISNUMBER('3a5a3c04bd9d'!E41)+ISNUMBER('192241189337'!E41)+ISNUMBER('23a0423d7f40'!E41)+ISNUMBER('096252bb3796'!E41)+ISNUMBER(a53d1c7f9645!E41)+ISNUMBER('283d32631463'!E41)+ISNUMBER('1a542cfbf2c5'!E41)+ISNUMBER(cf262786a0e1!E41)+ISNUMBER('4b9efdeaeb40'!E41)+ISNUMBER('66fab14edc4c'!E41)+ISNUMBER(d9a84a7879b5!E41)+ISNUMBER(caf2b28627a3!E41)+ISNUMBER('602e9d1875d1'!E41)+ISNUMBER(f168037f7f37!E41)+ISNUMBER(eb071de1ab08!E41)+ISNUMBER('7b3bd85715a4'!E41)+ISNUMBER(e2a9b537c609!E41)+ISNUMBER(f97457958ce9!E41)+ISNUMBER('281fcc7d7eae'!E41)+ISNUMBER('01454b1cfeba'!E41)+ISNUMBER('79287892b1d7'!E41)+ISNUMBER('1b3f96535b56'!E41),ISNUMBER('1ae03038ed69'!E41)+ISNUMBER('1572eb063e5c'!E41)+ISNUMBER(b6ea66d78823!E41)+ISNUMBER('6d8dcb722ca4'!E41)+ISNUMBER('9306b30af184'!E41)+ISNUMBER('3b760aaeab13'!E41)+ISNUMBER(b2f4402deaee!E41)+ISNUMBER('1c4d314e87cd'!E41)+ISNUMBER(acd4708edfe6!E41)+ISNUMBER('9a32b1f50fb5'!E41)+ISNUMBER('2df562aa32e7'!E41)+ISNUMBER('3a5a3c04bd9d'!E41)+ISNUMBER('192241189337'!E41)+ISNUMBER('23a0423d7f40'!E41)+ISNUMBER('096252bb3796'!E41)+ISNUMBER(a53d1c7f9645!E41)+ISNUMBER('283d32631463'!E41)+ISNUMBER('1a542cfbf2c5'!E41)+ISNUMBER(cf262786a0e1!E41)+ISNUMBER('4b9efdeaeb40'!E41)+ISNUMBER('66fab14edc4c'!E41)+ISNUMBER(d9a84a7879b5!E41)+ISNUMBER(caf2b28627a3!E41)+ISNUMBER('602e9d1875d1'!E41)+ISNUMBER(f168037f7f37!E41)+ISNUMBER(eb071de1ab08!E41)+ISNUMBER('7b3bd85715a4'!E41)+ISNUMBER(e2a9b537c609!E41)+ISNUMBER(f97457958ce9!E41)+ISNUMBER('281fcc7d7eae'!E41)+ISNUMBER('01454b1cfeba'!E41)+ISNUMBER('79287892b1d7'!E41)+ISNUMBER('1b3f96535b56'!E41),"")</f>
        <v>5</v>
      </c>
      <c r="J28" s="18">
        <f>IF(ISNUMBER('1ae03038ed69'!F41)+ISNUMBER('1572eb063e5c'!F41)+ISNUMBER(b6ea66d78823!F41)+ISNUMBER('6d8dcb722ca4'!F41)+ISNUMBER('9306b30af184'!F41)+ISNUMBER('3b760aaeab13'!F41)+ISNUMBER(b2f4402deaee!F41)+ISNUMBER('1c4d314e87cd'!F41)+ISNUMBER(acd4708edfe6!F41)+ISNUMBER('9a32b1f50fb5'!F41)+ISNUMBER('2df562aa32e7'!F41)+ISNUMBER('3a5a3c04bd9d'!F41)+ISNUMBER('192241189337'!F41)+ISNUMBER('23a0423d7f40'!F41)+ISNUMBER('096252bb3796'!F41)+ISNUMBER(a53d1c7f9645!F41)+ISNUMBER('283d32631463'!F41)+ISNUMBER('1a542cfbf2c5'!F41)+ISNUMBER(cf262786a0e1!F41)+ISNUMBER('4b9efdeaeb40'!F41)+ISNUMBER('66fab14edc4c'!F41)+ISNUMBER(d9a84a7879b5!F41)+ISNUMBER(caf2b28627a3!F41)+ISNUMBER('602e9d1875d1'!F41)+ISNUMBER(f168037f7f37!F41)+ISNUMBER(eb071de1ab08!F41)+ISNUMBER('7b3bd85715a4'!F41)+ISNUMBER(e2a9b537c609!F41)+ISNUMBER(f97457958ce9!F41)+ISNUMBER('281fcc7d7eae'!F41)+ISNUMBER('01454b1cfeba'!F41)+ISNUMBER('79287892b1d7'!F41)+ISNUMBER('1b3f96535b56'!F41),ISNUMBER('1ae03038ed69'!F41)+ISNUMBER('1572eb063e5c'!F41)+ISNUMBER(b6ea66d78823!F41)+ISNUMBER('6d8dcb722ca4'!F41)+ISNUMBER('9306b30af184'!F41)+ISNUMBER('3b760aaeab13'!F41)+ISNUMBER(b2f4402deaee!F41)+ISNUMBER('1c4d314e87cd'!F41)+ISNUMBER(acd4708edfe6!F41)+ISNUMBER('9a32b1f50fb5'!F41)+ISNUMBER('2df562aa32e7'!F41)+ISNUMBER('3a5a3c04bd9d'!F41)+ISNUMBER('192241189337'!F41)+ISNUMBER('23a0423d7f40'!F41)+ISNUMBER('096252bb3796'!F41)+ISNUMBER(a53d1c7f9645!F41)+ISNUMBER('283d32631463'!F41)+ISNUMBER('1a542cfbf2c5'!F41)+ISNUMBER(cf262786a0e1!F41)+ISNUMBER('4b9efdeaeb40'!F41)+ISNUMBER('66fab14edc4c'!F41)+ISNUMBER(d9a84a7879b5!F41)+ISNUMBER(caf2b28627a3!F41)+ISNUMBER('602e9d1875d1'!F41)+ISNUMBER(f168037f7f37!F41)+ISNUMBER(eb071de1ab08!F41)+ISNUMBER('7b3bd85715a4'!F41)+ISNUMBER(e2a9b537c609!F41)+ISNUMBER(f97457958ce9!F41)+ISNUMBER('281fcc7d7eae'!F41)+ISNUMBER('01454b1cfeba'!F41)+ISNUMBER('79287892b1d7'!F41)+ISNUMBER('1b3f96535b56'!F41),"")</f>
        <v>2</v>
      </c>
      <c r="K28" s="17">
        <f>IF(ISNUMBER('1ae03038ed69'!G41)+ISNUMBER('1572eb063e5c'!G41)+ISNUMBER(b6ea66d78823!G41)+ISNUMBER('6d8dcb722ca4'!G41)+ISNUMBER('9306b30af184'!G41)+ISNUMBER('3b760aaeab13'!G41)+ISNUMBER(b2f4402deaee!G41)+ISNUMBER('1c4d314e87cd'!G41)+ISNUMBER(acd4708edfe6!G41)+ISNUMBER('9a32b1f50fb5'!G41)+ISNUMBER('2df562aa32e7'!G41)+ISNUMBER('3a5a3c04bd9d'!G41)+ISNUMBER('192241189337'!G41)+ISNUMBER('23a0423d7f40'!G41)+ISNUMBER('096252bb3796'!G41)+ISNUMBER(a53d1c7f9645!G41)+ISNUMBER('283d32631463'!G41)+ISNUMBER('1a542cfbf2c5'!G41)+ISNUMBER(cf262786a0e1!G41)+ISNUMBER('4b9efdeaeb40'!G41)+ISNUMBER('66fab14edc4c'!G41)+ISNUMBER(d9a84a7879b5!G41)+ISNUMBER(caf2b28627a3!G41)+ISNUMBER('602e9d1875d1'!G41)+ISNUMBER(f168037f7f37!G41)+ISNUMBER(eb071de1ab08!G41)+ISNUMBER('7b3bd85715a4'!G41)+ISNUMBER(e2a9b537c609!G41)+ISNUMBER(f97457958ce9!G41)+ISNUMBER('281fcc7d7eae'!G41)+ISNUMBER('01454b1cfeba'!G41)+ISNUMBER('79287892b1d7'!G41)+ISNUMBER('1b3f96535b56'!G41),ISNUMBER('1ae03038ed69'!G41)+ISNUMBER('1572eb063e5c'!G41)+ISNUMBER(b6ea66d78823!G41)+ISNUMBER('6d8dcb722ca4'!G41)+ISNUMBER('9306b30af184'!G41)+ISNUMBER('3b760aaeab13'!G41)+ISNUMBER(b2f4402deaee!G41)+ISNUMBER('1c4d314e87cd'!G41)+ISNUMBER(acd4708edfe6!G41)+ISNUMBER('9a32b1f50fb5'!G41)+ISNUMBER('2df562aa32e7'!G41)+ISNUMBER('3a5a3c04bd9d'!G41)+ISNUMBER('192241189337'!G41)+ISNUMBER('23a0423d7f40'!G41)+ISNUMBER('096252bb3796'!G41)+ISNUMBER(a53d1c7f9645!G41)+ISNUMBER('283d32631463'!G41)+ISNUMBER('1a542cfbf2c5'!G41)+ISNUMBER(cf262786a0e1!G41)+ISNUMBER('4b9efdeaeb40'!G41)+ISNUMBER('66fab14edc4c'!G41)+ISNUMBER(d9a84a7879b5!G41)+ISNUMBER(caf2b28627a3!G41)+ISNUMBER('602e9d1875d1'!G41)+ISNUMBER(f168037f7f37!G41)+ISNUMBER(eb071de1ab08!G41)+ISNUMBER('7b3bd85715a4'!G41)+ISNUMBER(e2a9b537c609!G41)+ISNUMBER(f97457958ce9!G41)+ISNUMBER('281fcc7d7eae'!G41)+ISNUMBER('01454b1cfeba'!G41)+ISNUMBER('79287892b1d7'!G41)+ISNUMBER('1b3f96535b56'!G41),"")</f>
        <v>8</v>
      </c>
      <c r="L28" s="17">
        <f>IF(ISNUMBER('1ae03038ed69'!H41)+ISNUMBER('1572eb063e5c'!H41)+ISNUMBER(b6ea66d78823!H41)+ISNUMBER('6d8dcb722ca4'!H41)+ISNUMBER('9306b30af184'!H41)+ISNUMBER('3b760aaeab13'!H41)+ISNUMBER(b2f4402deaee!H41)+ISNUMBER('1c4d314e87cd'!H41)+ISNUMBER(acd4708edfe6!H41)+ISNUMBER('9a32b1f50fb5'!H41)+ISNUMBER('2df562aa32e7'!H41)+ISNUMBER('3a5a3c04bd9d'!H41)+ISNUMBER('192241189337'!H41)+ISNUMBER('23a0423d7f40'!H41)+ISNUMBER('096252bb3796'!H41)+ISNUMBER(a53d1c7f9645!H41)+ISNUMBER('283d32631463'!H41)+ISNUMBER('1a542cfbf2c5'!H41)+ISNUMBER(cf262786a0e1!H41)+ISNUMBER('4b9efdeaeb40'!H41)+ISNUMBER('66fab14edc4c'!H41)+ISNUMBER(d9a84a7879b5!H41)+ISNUMBER(caf2b28627a3!H41)+ISNUMBER('602e9d1875d1'!H41)+ISNUMBER(f168037f7f37!H41)+ISNUMBER(eb071de1ab08!H41)+ISNUMBER('7b3bd85715a4'!H41)+ISNUMBER(e2a9b537c609!H41)+ISNUMBER(f97457958ce9!H41)+ISNUMBER('281fcc7d7eae'!H41)+ISNUMBER('01454b1cfeba'!H41)+ISNUMBER('79287892b1d7'!H41)+ISNUMBER('1b3f96535b56'!H41),ISNUMBER('1ae03038ed69'!H41)+ISNUMBER('1572eb063e5c'!H41)+ISNUMBER(b6ea66d78823!H41)+ISNUMBER('6d8dcb722ca4'!H41)+ISNUMBER('9306b30af184'!H41)+ISNUMBER('3b760aaeab13'!H41)+ISNUMBER(b2f4402deaee!H41)+ISNUMBER('1c4d314e87cd'!H41)+ISNUMBER(acd4708edfe6!H41)+ISNUMBER('9a32b1f50fb5'!H41)+ISNUMBER('2df562aa32e7'!H41)+ISNUMBER('3a5a3c04bd9d'!H41)+ISNUMBER('192241189337'!H41)+ISNUMBER('23a0423d7f40'!H41)+ISNUMBER('096252bb3796'!H41)+ISNUMBER(a53d1c7f9645!H41)+ISNUMBER('283d32631463'!H41)+ISNUMBER('1a542cfbf2c5'!H41)+ISNUMBER(cf262786a0e1!H41)+ISNUMBER('4b9efdeaeb40'!H41)+ISNUMBER('66fab14edc4c'!H41)+ISNUMBER(d9a84a7879b5!H41)+ISNUMBER(caf2b28627a3!H41)+ISNUMBER('602e9d1875d1'!H41)+ISNUMBER(f168037f7f37!H41)+ISNUMBER(eb071de1ab08!H41)+ISNUMBER('7b3bd85715a4'!H41)+ISNUMBER(e2a9b537c609!H41)+ISNUMBER(f97457958ce9!H41)+ISNUMBER('281fcc7d7eae'!H41)+ISNUMBER('01454b1cfeba'!H41)+ISNUMBER('79287892b1d7'!H41)+ISNUMBER('1b3f96535b56'!H41),"")</f>
        <v>4</v>
      </c>
      <c r="M28" s="18">
        <f>IF(ISNUMBER('1ae03038ed69'!I41)+ISNUMBER('1572eb063e5c'!I41)+ISNUMBER(b6ea66d78823!I41)+ISNUMBER('6d8dcb722ca4'!I41)+ISNUMBER('9306b30af184'!I41)+ISNUMBER('3b760aaeab13'!I41)+ISNUMBER(b2f4402deaee!I41)+ISNUMBER('1c4d314e87cd'!I41)+ISNUMBER(acd4708edfe6!I41)+ISNUMBER('9a32b1f50fb5'!I41)+ISNUMBER('2df562aa32e7'!I41)+ISNUMBER('3a5a3c04bd9d'!I41)+ISNUMBER('192241189337'!I41)+ISNUMBER('23a0423d7f40'!I41)+ISNUMBER('096252bb3796'!I41)+ISNUMBER(a53d1c7f9645!I41)+ISNUMBER('283d32631463'!I41)+ISNUMBER('1a542cfbf2c5'!I41)+ISNUMBER(cf262786a0e1!I41)+ISNUMBER('4b9efdeaeb40'!I41)+ISNUMBER('66fab14edc4c'!I41)+ISNUMBER(d9a84a7879b5!I41)+ISNUMBER(caf2b28627a3!I41)+ISNUMBER('602e9d1875d1'!I41)+ISNUMBER(f168037f7f37!I41)+ISNUMBER(eb071de1ab08!I41)+ISNUMBER('7b3bd85715a4'!I41)+ISNUMBER(e2a9b537c609!I41)+ISNUMBER(f97457958ce9!I41)+ISNUMBER('281fcc7d7eae'!I41)+ISNUMBER('01454b1cfeba'!I41)+ISNUMBER('79287892b1d7'!I41)+ISNUMBER('1b3f96535b56'!I41),ISNUMBER('1ae03038ed69'!I41)+ISNUMBER('1572eb063e5c'!I41)+ISNUMBER(b6ea66d78823!I41)+ISNUMBER('6d8dcb722ca4'!I41)+ISNUMBER('9306b30af184'!I41)+ISNUMBER('3b760aaeab13'!I41)+ISNUMBER(b2f4402deaee!I41)+ISNUMBER('1c4d314e87cd'!I41)+ISNUMBER(acd4708edfe6!I41)+ISNUMBER('9a32b1f50fb5'!I41)+ISNUMBER('2df562aa32e7'!I41)+ISNUMBER('3a5a3c04bd9d'!I41)+ISNUMBER('192241189337'!I41)+ISNUMBER('23a0423d7f40'!I41)+ISNUMBER('096252bb3796'!I41)+ISNUMBER(a53d1c7f9645!I41)+ISNUMBER('283d32631463'!I41)+ISNUMBER('1a542cfbf2c5'!I41)+ISNUMBER(cf262786a0e1!I41)+ISNUMBER('4b9efdeaeb40'!I41)+ISNUMBER('66fab14edc4c'!I41)+ISNUMBER(d9a84a7879b5!I41)+ISNUMBER(caf2b28627a3!I41)+ISNUMBER('602e9d1875d1'!I41)+ISNUMBER(f168037f7f37!I41)+ISNUMBER(eb071de1ab08!I41)+ISNUMBER('7b3bd85715a4'!I41)+ISNUMBER(e2a9b537c609!I41)+ISNUMBER(f97457958ce9!I41)+ISNUMBER('281fcc7d7eae'!I41)+ISNUMBER('01454b1cfeba'!I41)+ISNUMBER('79287892b1d7'!I41)+ISNUMBER('1b3f96535b56'!I41),"")</f>
        <v>7</v>
      </c>
      <c r="N28" s="18">
        <f>IF(ISNUMBER('1ae03038ed69'!J41)+ISNUMBER('1572eb063e5c'!J41)+ISNUMBER(b6ea66d78823!J41)+ISNUMBER('6d8dcb722ca4'!J41)+ISNUMBER('9306b30af184'!J41)+ISNUMBER('3b760aaeab13'!J41)+ISNUMBER(b2f4402deaee!J41)+ISNUMBER('1c4d314e87cd'!J41)+ISNUMBER(acd4708edfe6!J41)+ISNUMBER('9a32b1f50fb5'!J41)+ISNUMBER('2df562aa32e7'!J41)+ISNUMBER('3a5a3c04bd9d'!J41)+ISNUMBER('192241189337'!J41)+ISNUMBER('23a0423d7f40'!J41)+ISNUMBER('096252bb3796'!J41)+ISNUMBER(a53d1c7f9645!J41)+ISNUMBER('283d32631463'!J41)+ISNUMBER('1a542cfbf2c5'!J41)+ISNUMBER(cf262786a0e1!J41)+ISNUMBER('4b9efdeaeb40'!J41)+ISNUMBER('66fab14edc4c'!J41)+ISNUMBER(d9a84a7879b5!J41)+ISNUMBER(caf2b28627a3!J41)+ISNUMBER('602e9d1875d1'!J41)+ISNUMBER(f168037f7f37!J41)+ISNUMBER(eb071de1ab08!J41)+ISNUMBER('7b3bd85715a4'!J41)+ISNUMBER(e2a9b537c609!J41)+ISNUMBER(f97457958ce9!J41)+ISNUMBER('281fcc7d7eae'!J41)+ISNUMBER('01454b1cfeba'!J41)+ISNUMBER('79287892b1d7'!J41)+ISNUMBER('1b3f96535b56'!J41),ISNUMBER('1ae03038ed69'!J41)+ISNUMBER('1572eb063e5c'!J41)+ISNUMBER(b6ea66d78823!J41)+ISNUMBER('6d8dcb722ca4'!J41)+ISNUMBER('9306b30af184'!J41)+ISNUMBER('3b760aaeab13'!J41)+ISNUMBER(b2f4402deaee!J41)+ISNUMBER('1c4d314e87cd'!J41)+ISNUMBER(acd4708edfe6!J41)+ISNUMBER('9a32b1f50fb5'!J41)+ISNUMBER('2df562aa32e7'!J41)+ISNUMBER('3a5a3c04bd9d'!J41)+ISNUMBER('192241189337'!J41)+ISNUMBER('23a0423d7f40'!J41)+ISNUMBER('096252bb3796'!J41)+ISNUMBER(a53d1c7f9645!J41)+ISNUMBER('283d32631463'!J41)+ISNUMBER('1a542cfbf2c5'!J41)+ISNUMBER(cf262786a0e1!J41)+ISNUMBER('4b9efdeaeb40'!J41)+ISNUMBER('66fab14edc4c'!J41)+ISNUMBER(d9a84a7879b5!J41)+ISNUMBER(caf2b28627a3!J41)+ISNUMBER('602e9d1875d1'!J41)+ISNUMBER(f168037f7f37!J41)+ISNUMBER(eb071de1ab08!J41)+ISNUMBER('7b3bd85715a4'!J41)+ISNUMBER(e2a9b537c609!J41)+ISNUMBER(f97457958ce9!J41)+ISNUMBER('281fcc7d7eae'!J41)+ISNUMBER('01454b1cfeba'!J41)+ISNUMBER('79287892b1d7'!J41)+ISNUMBER('1b3f96535b56'!J41),"")</f>
        <v>1</v>
      </c>
      <c r="O28" s="17" t="str">
        <f>IF(ISNUMBER('1ae03038ed69'!K41)+ISNUMBER('1572eb063e5c'!K41)+ISNUMBER(b6ea66d78823!K41)+ISNUMBER('6d8dcb722ca4'!K41)+ISNUMBER('9306b30af184'!K41)+ISNUMBER('3b760aaeab13'!K41)+ISNUMBER(b2f4402deaee!K41)+ISNUMBER('1c4d314e87cd'!K41)+ISNUMBER(acd4708edfe6!K41)+ISNUMBER('9a32b1f50fb5'!K41)+ISNUMBER('2df562aa32e7'!K41)+ISNUMBER('3a5a3c04bd9d'!K41)+ISNUMBER('192241189337'!K41)+ISNUMBER('23a0423d7f40'!K41)+ISNUMBER('096252bb3796'!K41)+ISNUMBER(a53d1c7f9645!K41)+ISNUMBER('283d32631463'!K41)+ISNUMBER('1a542cfbf2c5'!K41)+ISNUMBER(cf262786a0e1!K41)+ISNUMBER('4b9efdeaeb40'!K41)+ISNUMBER('66fab14edc4c'!K41)+ISNUMBER(d9a84a7879b5!K41)+ISNUMBER(caf2b28627a3!K41)+ISNUMBER('602e9d1875d1'!K41)+ISNUMBER(f168037f7f37!K41)+ISNUMBER(eb071de1ab08!K41)+ISNUMBER('7b3bd85715a4'!K41)+ISNUMBER(e2a9b537c609!K41)+ISNUMBER(f97457958ce9!K41)+ISNUMBER('281fcc7d7eae'!K41)+ISNUMBER('01454b1cfeba'!K41)+ISNUMBER('79287892b1d7'!K41)+ISNUMBER('1b3f96535b56'!K41),ISNUMBER('1ae03038ed69'!K41)+ISNUMBER('1572eb063e5c'!K41)+ISNUMBER(b6ea66d78823!K41)+ISNUMBER('6d8dcb722ca4'!K41)+ISNUMBER('9306b30af184'!K41)+ISNUMBER('3b760aaeab13'!K41)+ISNUMBER(b2f4402deaee!K41)+ISNUMBER('1c4d314e87cd'!K41)+ISNUMBER(acd4708edfe6!K41)+ISNUMBER('9a32b1f50fb5'!K41)+ISNUMBER('2df562aa32e7'!K41)+ISNUMBER('3a5a3c04bd9d'!K41)+ISNUMBER('192241189337'!K41)+ISNUMBER('23a0423d7f40'!K41)+ISNUMBER('096252bb3796'!K41)+ISNUMBER(a53d1c7f9645!K41)+ISNUMBER('283d32631463'!K41)+ISNUMBER('1a542cfbf2c5'!K41)+ISNUMBER(cf262786a0e1!K41)+ISNUMBER('4b9efdeaeb40'!K41)+ISNUMBER('66fab14edc4c'!K41)+ISNUMBER(d9a84a7879b5!K41)+ISNUMBER(caf2b28627a3!K41)+ISNUMBER('602e9d1875d1'!K41)+ISNUMBER(f168037f7f37!K41)+ISNUMBER(eb071de1ab08!K41)+ISNUMBER('7b3bd85715a4'!K41)+ISNUMBER(e2a9b537c609!K41)+ISNUMBER(f97457958ce9!K41)+ISNUMBER('281fcc7d7eae'!K41)+ISNUMBER('01454b1cfeba'!K41)+ISNUMBER('79287892b1d7'!K41)+ISNUMBER('1b3f96535b56'!K41),"")</f>
        <v/>
      </c>
      <c r="P28" s="17" t="str">
        <f>IF(ISNUMBER('1ae03038ed69'!L41)+ISNUMBER('1572eb063e5c'!L41)+ISNUMBER(b6ea66d78823!L41)+ISNUMBER('6d8dcb722ca4'!L41)+ISNUMBER('9306b30af184'!L41)+ISNUMBER('3b760aaeab13'!L41)+ISNUMBER(b2f4402deaee!L41)+ISNUMBER('1c4d314e87cd'!L41)+ISNUMBER(acd4708edfe6!L41)+ISNUMBER('9a32b1f50fb5'!L41)+ISNUMBER('2df562aa32e7'!L41)+ISNUMBER('3a5a3c04bd9d'!L41)+ISNUMBER('192241189337'!L41)+ISNUMBER('23a0423d7f40'!L41)+ISNUMBER('096252bb3796'!L41)+ISNUMBER(a53d1c7f9645!L41)+ISNUMBER('283d32631463'!L41)+ISNUMBER('1a542cfbf2c5'!L41)+ISNUMBER(cf262786a0e1!L41)+ISNUMBER('4b9efdeaeb40'!L41)+ISNUMBER('66fab14edc4c'!L41)+ISNUMBER(d9a84a7879b5!L41)+ISNUMBER(caf2b28627a3!L41)+ISNUMBER('602e9d1875d1'!L41)+ISNUMBER(f168037f7f37!L41)+ISNUMBER(eb071de1ab08!L41)+ISNUMBER('7b3bd85715a4'!L41)+ISNUMBER(e2a9b537c609!L41)+ISNUMBER(f97457958ce9!L41)+ISNUMBER('281fcc7d7eae'!L41)+ISNUMBER('01454b1cfeba'!L41)+ISNUMBER('79287892b1d7'!L41)+ISNUMBER('1b3f96535b56'!L41),ISNUMBER('1ae03038ed69'!L41)+ISNUMBER('1572eb063e5c'!L41)+ISNUMBER(b6ea66d78823!L41)+ISNUMBER('6d8dcb722ca4'!L41)+ISNUMBER('9306b30af184'!L41)+ISNUMBER('3b760aaeab13'!L41)+ISNUMBER(b2f4402deaee!L41)+ISNUMBER('1c4d314e87cd'!L41)+ISNUMBER(acd4708edfe6!L41)+ISNUMBER('9a32b1f50fb5'!L41)+ISNUMBER('2df562aa32e7'!L41)+ISNUMBER('3a5a3c04bd9d'!L41)+ISNUMBER('192241189337'!L41)+ISNUMBER('23a0423d7f40'!L41)+ISNUMBER('096252bb3796'!L41)+ISNUMBER(a53d1c7f9645!L41)+ISNUMBER('283d32631463'!L41)+ISNUMBER('1a542cfbf2c5'!L41)+ISNUMBER(cf262786a0e1!L41)+ISNUMBER('4b9efdeaeb40'!L41)+ISNUMBER('66fab14edc4c'!L41)+ISNUMBER(d9a84a7879b5!L41)+ISNUMBER(caf2b28627a3!L41)+ISNUMBER('602e9d1875d1'!L41)+ISNUMBER(f168037f7f37!L41)+ISNUMBER(eb071de1ab08!L41)+ISNUMBER('7b3bd85715a4'!L41)+ISNUMBER(e2a9b537c609!L41)+ISNUMBER(f97457958ce9!L41)+ISNUMBER('281fcc7d7eae'!L41)+ISNUMBER('01454b1cfeba'!L41)+ISNUMBER('79287892b1d7'!L41)+ISNUMBER('1b3f96535b56'!L41),"")</f>
        <v/>
      </c>
      <c r="Q28" s="18">
        <f>IF(ISNUMBER('1ae03038ed69'!M41)+ISNUMBER('1572eb063e5c'!M41)+ISNUMBER(b6ea66d78823!M41)+ISNUMBER('6d8dcb722ca4'!M41)+ISNUMBER('9306b30af184'!M41)+ISNUMBER('3b760aaeab13'!M41)+ISNUMBER(b2f4402deaee!M41)+ISNUMBER('1c4d314e87cd'!M41)+ISNUMBER(acd4708edfe6!M41)+ISNUMBER('9a32b1f50fb5'!M41)+ISNUMBER('2df562aa32e7'!M41)+ISNUMBER('3a5a3c04bd9d'!M41)+ISNUMBER('192241189337'!M41)+ISNUMBER('23a0423d7f40'!M41)+ISNUMBER('096252bb3796'!M41)+ISNUMBER(a53d1c7f9645!M41)+ISNUMBER('283d32631463'!M41)+ISNUMBER('1a542cfbf2c5'!M41)+ISNUMBER(cf262786a0e1!M41)+ISNUMBER('4b9efdeaeb40'!M41)+ISNUMBER('66fab14edc4c'!M41)+ISNUMBER(d9a84a7879b5!M41)+ISNUMBER(caf2b28627a3!M41)+ISNUMBER('602e9d1875d1'!M41)+ISNUMBER(f168037f7f37!M41)+ISNUMBER(eb071de1ab08!M41)+ISNUMBER('7b3bd85715a4'!M41)+ISNUMBER(e2a9b537c609!M41)+ISNUMBER(f97457958ce9!M41)+ISNUMBER('281fcc7d7eae'!M41)+ISNUMBER('01454b1cfeba'!M41)+ISNUMBER('79287892b1d7'!M41)+ISNUMBER('1b3f96535b56'!M41),ISNUMBER('1ae03038ed69'!M41)+ISNUMBER('1572eb063e5c'!M41)+ISNUMBER(b6ea66d78823!M41)+ISNUMBER('6d8dcb722ca4'!M41)+ISNUMBER('9306b30af184'!M41)+ISNUMBER('3b760aaeab13'!M41)+ISNUMBER(b2f4402deaee!M41)+ISNUMBER('1c4d314e87cd'!M41)+ISNUMBER(acd4708edfe6!M41)+ISNUMBER('9a32b1f50fb5'!M41)+ISNUMBER('2df562aa32e7'!M41)+ISNUMBER('3a5a3c04bd9d'!M41)+ISNUMBER('192241189337'!M41)+ISNUMBER('23a0423d7f40'!M41)+ISNUMBER('096252bb3796'!M41)+ISNUMBER(a53d1c7f9645!M41)+ISNUMBER('283d32631463'!M41)+ISNUMBER('1a542cfbf2c5'!M41)+ISNUMBER(cf262786a0e1!M41)+ISNUMBER('4b9efdeaeb40'!M41)+ISNUMBER('66fab14edc4c'!M41)+ISNUMBER(d9a84a7879b5!M41)+ISNUMBER(caf2b28627a3!M41)+ISNUMBER('602e9d1875d1'!M41)+ISNUMBER(f168037f7f37!M41)+ISNUMBER(eb071de1ab08!M41)+ISNUMBER('7b3bd85715a4'!M41)+ISNUMBER(e2a9b537c609!M41)+ISNUMBER(f97457958ce9!M41)+ISNUMBER('281fcc7d7eae'!M41)+ISNUMBER('01454b1cfeba'!M41)+ISNUMBER('79287892b1d7'!M41)+ISNUMBER('1b3f96535b56'!M41),"")</f>
        <v>1</v>
      </c>
      <c r="R28" s="18" t="str">
        <f>IF(ISNUMBER('1ae03038ed69'!N41)+ISNUMBER('1572eb063e5c'!N41)+ISNUMBER(b6ea66d78823!N41)+ISNUMBER('6d8dcb722ca4'!N41)+ISNUMBER('9306b30af184'!N41)+ISNUMBER('3b760aaeab13'!N41)+ISNUMBER(b2f4402deaee!N41)+ISNUMBER('1c4d314e87cd'!N41)+ISNUMBER(acd4708edfe6!N41)+ISNUMBER('9a32b1f50fb5'!N41)+ISNUMBER('2df562aa32e7'!N41)+ISNUMBER('3a5a3c04bd9d'!N41)+ISNUMBER('192241189337'!N41)+ISNUMBER('23a0423d7f40'!N41)+ISNUMBER('096252bb3796'!N41)+ISNUMBER(a53d1c7f9645!N41)+ISNUMBER('283d32631463'!N41)+ISNUMBER('1a542cfbf2c5'!N41)+ISNUMBER(cf262786a0e1!N41)+ISNUMBER('4b9efdeaeb40'!N41)+ISNUMBER('66fab14edc4c'!N41)+ISNUMBER(d9a84a7879b5!N41)+ISNUMBER(caf2b28627a3!N41)+ISNUMBER('602e9d1875d1'!N41)+ISNUMBER(f168037f7f37!N41)+ISNUMBER(eb071de1ab08!N41)+ISNUMBER('7b3bd85715a4'!N41)+ISNUMBER(e2a9b537c609!N41)+ISNUMBER(f97457958ce9!N41)+ISNUMBER('281fcc7d7eae'!N41)+ISNUMBER('01454b1cfeba'!N41)+ISNUMBER('79287892b1d7'!N41)+ISNUMBER('1b3f96535b56'!N41),ISNUMBER('1ae03038ed69'!N41)+ISNUMBER('1572eb063e5c'!N41)+ISNUMBER(b6ea66d78823!N41)+ISNUMBER('6d8dcb722ca4'!N41)+ISNUMBER('9306b30af184'!N41)+ISNUMBER('3b760aaeab13'!N41)+ISNUMBER(b2f4402deaee!N41)+ISNUMBER('1c4d314e87cd'!N41)+ISNUMBER(acd4708edfe6!N41)+ISNUMBER('9a32b1f50fb5'!N41)+ISNUMBER('2df562aa32e7'!N41)+ISNUMBER('3a5a3c04bd9d'!N41)+ISNUMBER('192241189337'!N41)+ISNUMBER('23a0423d7f40'!N41)+ISNUMBER('096252bb3796'!N41)+ISNUMBER(a53d1c7f9645!N41)+ISNUMBER('283d32631463'!N41)+ISNUMBER('1a542cfbf2c5'!N41)+ISNUMBER(cf262786a0e1!N41)+ISNUMBER('4b9efdeaeb40'!N41)+ISNUMBER('66fab14edc4c'!N41)+ISNUMBER(d9a84a7879b5!N41)+ISNUMBER(caf2b28627a3!N41)+ISNUMBER('602e9d1875d1'!N41)+ISNUMBER(f168037f7f37!N41)+ISNUMBER(eb071de1ab08!N41)+ISNUMBER('7b3bd85715a4'!N41)+ISNUMBER(e2a9b537c609!N41)+ISNUMBER(f97457958ce9!N41)+ISNUMBER('281fcc7d7eae'!N41)+ISNUMBER('01454b1cfeba'!N41)+ISNUMBER('79287892b1d7'!N41)+ISNUMBER('1b3f96535b56'!N41),"")</f>
        <v/>
      </c>
      <c r="U28" t="s">
        <v>64</v>
      </c>
      <c r="V28" t="s">
        <v>27</v>
      </c>
    </row>
    <row r="29" spans="2:22" ht="15.75" customHeight="1">
      <c r="F29" s="16" t="str">
        <f>F13</f>
        <v>Health and care in the co…</v>
      </c>
      <c r="G29" s="17">
        <f>IF(ISNUMBER('1ae03038ed69'!C42)+ISNUMBER('1572eb063e5c'!C42)+ISNUMBER(b6ea66d78823!C42)+ISNUMBER('6d8dcb722ca4'!C42)+ISNUMBER('9306b30af184'!C42)+ISNUMBER('3b760aaeab13'!C42)+ISNUMBER(b2f4402deaee!C42)+ISNUMBER('1c4d314e87cd'!C42)+ISNUMBER(acd4708edfe6!C42)+ISNUMBER('9a32b1f50fb5'!C42)+ISNUMBER('2df562aa32e7'!C42)+ISNUMBER('3a5a3c04bd9d'!C42)+ISNUMBER('192241189337'!C42)+ISNUMBER('23a0423d7f40'!C42)+ISNUMBER('096252bb3796'!C42)+ISNUMBER(a53d1c7f9645!C42)+ISNUMBER('283d32631463'!C42)+ISNUMBER('1a542cfbf2c5'!C42)+ISNUMBER(cf262786a0e1!C42)+ISNUMBER('4b9efdeaeb40'!C42)+ISNUMBER('66fab14edc4c'!C42)+ISNUMBER(d9a84a7879b5!C42)+ISNUMBER(caf2b28627a3!C42)+ISNUMBER('602e9d1875d1'!C42)+ISNUMBER(f168037f7f37!C42)+ISNUMBER(eb071de1ab08!C42)+ISNUMBER('7b3bd85715a4'!C42)+ISNUMBER(e2a9b537c609!C42)+ISNUMBER(f97457958ce9!C42)+ISNUMBER('281fcc7d7eae'!C42)+ISNUMBER('01454b1cfeba'!C42)+ISNUMBER('79287892b1d7'!C42)+ISNUMBER('1b3f96535b56'!C42),ISNUMBER('1ae03038ed69'!C42)+ISNUMBER('1572eb063e5c'!C42)+ISNUMBER(b6ea66d78823!C42)+ISNUMBER('6d8dcb722ca4'!C42)+ISNUMBER('9306b30af184'!C42)+ISNUMBER('3b760aaeab13'!C42)+ISNUMBER(b2f4402deaee!C42)+ISNUMBER('1c4d314e87cd'!C42)+ISNUMBER(acd4708edfe6!C42)+ISNUMBER('9a32b1f50fb5'!C42)+ISNUMBER('2df562aa32e7'!C42)+ISNUMBER('3a5a3c04bd9d'!C42)+ISNUMBER('192241189337'!C42)+ISNUMBER('23a0423d7f40'!C42)+ISNUMBER('096252bb3796'!C42)+ISNUMBER(a53d1c7f9645!C42)+ISNUMBER('283d32631463'!C42)+ISNUMBER('1a542cfbf2c5'!C42)+ISNUMBER(cf262786a0e1!C42)+ISNUMBER('4b9efdeaeb40'!C42)+ISNUMBER('66fab14edc4c'!C42)+ISNUMBER(d9a84a7879b5!C42)+ISNUMBER(caf2b28627a3!C42)+ISNUMBER('602e9d1875d1'!C42)+ISNUMBER(f168037f7f37!C42)+ISNUMBER(eb071de1ab08!C42)+ISNUMBER('7b3bd85715a4'!C42)+ISNUMBER(e2a9b537c609!C42)+ISNUMBER(f97457958ce9!C42)+ISNUMBER('281fcc7d7eae'!C42)+ISNUMBER('01454b1cfeba'!C42)+ISNUMBER('79287892b1d7'!C42)+ISNUMBER('1b3f96535b56'!C42),"")</f>
        <v>1</v>
      </c>
      <c r="H29" s="17">
        <f>IF(ISNUMBER('1ae03038ed69'!D42)+ISNUMBER('1572eb063e5c'!D42)+ISNUMBER(b6ea66d78823!D42)+ISNUMBER('6d8dcb722ca4'!D42)+ISNUMBER('9306b30af184'!D42)+ISNUMBER('3b760aaeab13'!D42)+ISNUMBER(b2f4402deaee!D42)+ISNUMBER('1c4d314e87cd'!D42)+ISNUMBER(acd4708edfe6!D42)+ISNUMBER('9a32b1f50fb5'!D42)+ISNUMBER('2df562aa32e7'!D42)+ISNUMBER('3a5a3c04bd9d'!D42)+ISNUMBER('192241189337'!D42)+ISNUMBER('23a0423d7f40'!D42)+ISNUMBER('096252bb3796'!D42)+ISNUMBER(a53d1c7f9645!D42)+ISNUMBER('283d32631463'!D42)+ISNUMBER('1a542cfbf2c5'!D42)+ISNUMBER(cf262786a0e1!D42)+ISNUMBER('4b9efdeaeb40'!D42)+ISNUMBER('66fab14edc4c'!D42)+ISNUMBER(d9a84a7879b5!D42)+ISNUMBER(caf2b28627a3!D42)+ISNUMBER('602e9d1875d1'!D42)+ISNUMBER(f168037f7f37!D42)+ISNUMBER(eb071de1ab08!D42)+ISNUMBER('7b3bd85715a4'!D42)+ISNUMBER(e2a9b537c609!D42)+ISNUMBER(f97457958ce9!D42)+ISNUMBER('281fcc7d7eae'!D42)+ISNUMBER('01454b1cfeba'!D42)+ISNUMBER('79287892b1d7'!D42)+ISNUMBER('1b3f96535b56'!D42),ISNUMBER('1ae03038ed69'!D42)+ISNUMBER('1572eb063e5c'!D42)+ISNUMBER(b6ea66d78823!D42)+ISNUMBER('6d8dcb722ca4'!D42)+ISNUMBER('9306b30af184'!D42)+ISNUMBER('3b760aaeab13'!D42)+ISNUMBER(b2f4402deaee!D42)+ISNUMBER('1c4d314e87cd'!D42)+ISNUMBER(acd4708edfe6!D42)+ISNUMBER('9a32b1f50fb5'!D42)+ISNUMBER('2df562aa32e7'!D42)+ISNUMBER('3a5a3c04bd9d'!D42)+ISNUMBER('192241189337'!D42)+ISNUMBER('23a0423d7f40'!D42)+ISNUMBER('096252bb3796'!D42)+ISNUMBER(a53d1c7f9645!D42)+ISNUMBER('283d32631463'!D42)+ISNUMBER('1a542cfbf2c5'!D42)+ISNUMBER(cf262786a0e1!D42)+ISNUMBER('4b9efdeaeb40'!D42)+ISNUMBER('66fab14edc4c'!D42)+ISNUMBER(d9a84a7879b5!D42)+ISNUMBER(caf2b28627a3!D42)+ISNUMBER('602e9d1875d1'!D42)+ISNUMBER(f168037f7f37!D42)+ISNUMBER(eb071de1ab08!D42)+ISNUMBER('7b3bd85715a4'!D42)+ISNUMBER(e2a9b537c609!D42)+ISNUMBER(f97457958ce9!D42)+ISNUMBER('281fcc7d7eae'!D42)+ISNUMBER('01454b1cfeba'!D42)+ISNUMBER('79287892b1d7'!D42)+ISNUMBER('1b3f96535b56'!D42),"")</f>
        <v>2</v>
      </c>
      <c r="I29" s="18" t="str">
        <f>IF(ISNUMBER('1ae03038ed69'!E42)+ISNUMBER('1572eb063e5c'!E42)+ISNUMBER(b6ea66d78823!E42)+ISNUMBER('6d8dcb722ca4'!E42)+ISNUMBER('9306b30af184'!E42)+ISNUMBER('3b760aaeab13'!E42)+ISNUMBER(b2f4402deaee!E42)+ISNUMBER('1c4d314e87cd'!E42)+ISNUMBER(acd4708edfe6!E42)+ISNUMBER('9a32b1f50fb5'!E42)+ISNUMBER('2df562aa32e7'!E42)+ISNUMBER('3a5a3c04bd9d'!E42)+ISNUMBER('192241189337'!E42)+ISNUMBER('23a0423d7f40'!E42)+ISNUMBER('096252bb3796'!E42)+ISNUMBER(a53d1c7f9645!E42)+ISNUMBER('283d32631463'!E42)+ISNUMBER('1a542cfbf2c5'!E42)+ISNUMBER(cf262786a0e1!E42)+ISNUMBER('4b9efdeaeb40'!E42)+ISNUMBER('66fab14edc4c'!E42)+ISNUMBER(d9a84a7879b5!E42)+ISNUMBER(caf2b28627a3!E42)+ISNUMBER('602e9d1875d1'!E42)+ISNUMBER(f168037f7f37!E42)+ISNUMBER(eb071de1ab08!E42)+ISNUMBER('7b3bd85715a4'!E42)+ISNUMBER(e2a9b537c609!E42)+ISNUMBER(f97457958ce9!E42)+ISNUMBER('281fcc7d7eae'!E42)+ISNUMBER('01454b1cfeba'!E42)+ISNUMBER('79287892b1d7'!E42)+ISNUMBER('1b3f96535b56'!E42),ISNUMBER('1ae03038ed69'!E42)+ISNUMBER('1572eb063e5c'!E42)+ISNUMBER(b6ea66d78823!E42)+ISNUMBER('6d8dcb722ca4'!E42)+ISNUMBER('9306b30af184'!E42)+ISNUMBER('3b760aaeab13'!E42)+ISNUMBER(b2f4402deaee!E42)+ISNUMBER('1c4d314e87cd'!E42)+ISNUMBER(acd4708edfe6!E42)+ISNUMBER('9a32b1f50fb5'!E42)+ISNUMBER('2df562aa32e7'!E42)+ISNUMBER('3a5a3c04bd9d'!E42)+ISNUMBER('192241189337'!E42)+ISNUMBER('23a0423d7f40'!E42)+ISNUMBER('096252bb3796'!E42)+ISNUMBER(a53d1c7f9645!E42)+ISNUMBER('283d32631463'!E42)+ISNUMBER('1a542cfbf2c5'!E42)+ISNUMBER(cf262786a0e1!E42)+ISNUMBER('4b9efdeaeb40'!E42)+ISNUMBER('66fab14edc4c'!E42)+ISNUMBER(d9a84a7879b5!E42)+ISNUMBER(caf2b28627a3!E42)+ISNUMBER('602e9d1875d1'!E42)+ISNUMBER(f168037f7f37!E42)+ISNUMBER(eb071de1ab08!E42)+ISNUMBER('7b3bd85715a4'!E42)+ISNUMBER(e2a9b537c609!E42)+ISNUMBER(f97457958ce9!E42)+ISNUMBER('281fcc7d7eae'!E42)+ISNUMBER('01454b1cfeba'!E42)+ISNUMBER('79287892b1d7'!E42)+ISNUMBER('1b3f96535b56'!E42),"")</f>
        <v/>
      </c>
      <c r="J29" s="18" t="str">
        <f>IF(ISNUMBER('1ae03038ed69'!F42)+ISNUMBER('1572eb063e5c'!F42)+ISNUMBER(b6ea66d78823!F42)+ISNUMBER('6d8dcb722ca4'!F42)+ISNUMBER('9306b30af184'!F42)+ISNUMBER('3b760aaeab13'!F42)+ISNUMBER(b2f4402deaee!F42)+ISNUMBER('1c4d314e87cd'!F42)+ISNUMBER(acd4708edfe6!F42)+ISNUMBER('9a32b1f50fb5'!F42)+ISNUMBER('2df562aa32e7'!F42)+ISNUMBER('3a5a3c04bd9d'!F42)+ISNUMBER('192241189337'!F42)+ISNUMBER('23a0423d7f40'!F42)+ISNUMBER('096252bb3796'!F42)+ISNUMBER(a53d1c7f9645!F42)+ISNUMBER('283d32631463'!F42)+ISNUMBER('1a542cfbf2c5'!F42)+ISNUMBER(cf262786a0e1!F42)+ISNUMBER('4b9efdeaeb40'!F42)+ISNUMBER('66fab14edc4c'!F42)+ISNUMBER(d9a84a7879b5!F42)+ISNUMBER(caf2b28627a3!F42)+ISNUMBER('602e9d1875d1'!F42)+ISNUMBER(f168037f7f37!F42)+ISNUMBER(eb071de1ab08!F42)+ISNUMBER('7b3bd85715a4'!F42)+ISNUMBER(e2a9b537c609!F42)+ISNUMBER(f97457958ce9!F42)+ISNUMBER('281fcc7d7eae'!F42)+ISNUMBER('01454b1cfeba'!F42)+ISNUMBER('79287892b1d7'!F42)+ISNUMBER('1b3f96535b56'!F42),ISNUMBER('1ae03038ed69'!F42)+ISNUMBER('1572eb063e5c'!F42)+ISNUMBER(b6ea66d78823!F42)+ISNUMBER('6d8dcb722ca4'!F42)+ISNUMBER('9306b30af184'!F42)+ISNUMBER('3b760aaeab13'!F42)+ISNUMBER(b2f4402deaee!F42)+ISNUMBER('1c4d314e87cd'!F42)+ISNUMBER(acd4708edfe6!F42)+ISNUMBER('9a32b1f50fb5'!F42)+ISNUMBER('2df562aa32e7'!F42)+ISNUMBER('3a5a3c04bd9d'!F42)+ISNUMBER('192241189337'!F42)+ISNUMBER('23a0423d7f40'!F42)+ISNUMBER('096252bb3796'!F42)+ISNUMBER(a53d1c7f9645!F42)+ISNUMBER('283d32631463'!F42)+ISNUMBER('1a542cfbf2c5'!F42)+ISNUMBER(cf262786a0e1!F42)+ISNUMBER('4b9efdeaeb40'!F42)+ISNUMBER('66fab14edc4c'!F42)+ISNUMBER(d9a84a7879b5!F42)+ISNUMBER(caf2b28627a3!F42)+ISNUMBER('602e9d1875d1'!F42)+ISNUMBER(f168037f7f37!F42)+ISNUMBER(eb071de1ab08!F42)+ISNUMBER('7b3bd85715a4'!F42)+ISNUMBER(e2a9b537c609!F42)+ISNUMBER(f97457958ce9!F42)+ISNUMBER('281fcc7d7eae'!F42)+ISNUMBER('01454b1cfeba'!F42)+ISNUMBER('79287892b1d7'!F42)+ISNUMBER('1b3f96535b56'!F42),"")</f>
        <v/>
      </c>
      <c r="K29" s="17" t="str">
        <f>IF(ISNUMBER('1ae03038ed69'!G42)+ISNUMBER('1572eb063e5c'!G42)+ISNUMBER(b6ea66d78823!G42)+ISNUMBER('6d8dcb722ca4'!G42)+ISNUMBER('9306b30af184'!G42)+ISNUMBER('3b760aaeab13'!G42)+ISNUMBER(b2f4402deaee!G42)+ISNUMBER('1c4d314e87cd'!G42)+ISNUMBER(acd4708edfe6!G42)+ISNUMBER('9a32b1f50fb5'!G42)+ISNUMBER('2df562aa32e7'!G42)+ISNUMBER('3a5a3c04bd9d'!G42)+ISNUMBER('192241189337'!G42)+ISNUMBER('23a0423d7f40'!G42)+ISNUMBER('096252bb3796'!G42)+ISNUMBER(a53d1c7f9645!G42)+ISNUMBER('283d32631463'!G42)+ISNUMBER('1a542cfbf2c5'!G42)+ISNUMBER(cf262786a0e1!G42)+ISNUMBER('4b9efdeaeb40'!G42)+ISNUMBER('66fab14edc4c'!G42)+ISNUMBER(d9a84a7879b5!G42)+ISNUMBER(caf2b28627a3!G42)+ISNUMBER('602e9d1875d1'!G42)+ISNUMBER(f168037f7f37!G42)+ISNUMBER(eb071de1ab08!G42)+ISNUMBER('7b3bd85715a4'!G42)+ISNUMBER(e2a9b537c609!G42)+ISNUMBER(f97457958ce9!G42)+ISNUMBER('281fcc7d7eae'!G42)+ISNUMBER('01454b1cfeba'!G42)+ISNUMBER('79287892b1d7'!G42)+ISNUMBER('1b3f96535b56'!G42),ISNUMBER('1ae03038ed69'!G42)+ISNUMBER('1572eb063e5c'!G42)+ISNUMBER(b6ea66d78823!G42)+ISNUMBER('6d8dcb722ca4'!G42)+ISNUMBER('9306b30af184'!G42)+ISNUMBER('3b760aaeab13'!G42)+ISNUMBER(b2f4402deaee!G42)+ISNUMBER('1c4d314e87cd'!G42)+ISNUMBER(acd4708edfe6!G42)+ISNUMBER('9a32b1f50fb5'!G42)+ISNUMBER('2df562aa32e7'!G42)+ISNUMBER('3a5a3c04bd9d'!G42)+ISNUMBER('192241189337'!G42)+ISNUMBER('23a0423d7f40'!G42)+ISNUMBER('096252bb3796'!G42)+ISNUMBER(a53d1c7f9645!G42)+ISNUMBER('283d32631463'!G42)+ISNUMBER('1a542cfbf2c5'!G42)+ISNUMBER(cf262786a0e1!G42)+ISNUMBER('4b9efdeaeb40'!G42)+ISNUMBER('66fab14edc4c'!G42)+ISNUMBER(d9a84a7879b5!G42)+ISNUMBER(caf2b28627a3!G42)+ISNUMBER('602e9d1875d1'!G42)+ISNUMBER(f168037f7f37!G42)+ISNUMBER(eb071de1ab08!G42)+ISNUMBER('7b3bd85715a4'!G42)+ISNUMBER(e2a9b537c609!G42)+ISNUMBER(f97457958ce9!G42)+ISNUMBER('281fcc7d7eae'!G42)+ISNUMBER('01454b1cfeba'!G42)+ISNUMBER('79287892b1d7'!G42)+ISNUMBER('1b3f96535b56'!G42),"")</f>
        <v/>
      </c>
      <c r="L29" s="17" t="str">
        <f>IF(ISNUMBER('1ae03038ed69'!H42)+ISNUMBER('1572eb063e5c'!H42)+ISNUMBER(b6ea66d78823!H42)+ISNUMBER('6d8dcb722ca4'!H42)+ISNUMBER('9306b30af184'!H42)+ISNUMBER('3b760aaeab13'!H42)+ISNUMBER(b2f4402deaee!H42)+ISNUMBER('1c4d314e87cd'!H42)+ISNUMBER(acd4708edfe6!H42)+ISNUMBER('9a32b1f50fb5'!H42)+ISNUMBER('2df562aa32e7'!H42)+ISNUMBER('3a5a3c04bd9d'!H42)+ISNUMBER('192241189337'!H42)+ISNUMBER('23a0423d7f40'!H42)+ISNUMBER('096252bb3796'!H42)+ISNUMBER(a53d1c7f9645!H42)+ISNUMBER('283d32631463'!H42)+ISNUMBER('1a542cfbf2c5'!H42)+ISNUMBER(cf262786a0e1!H42)+ISNUMBER('4b9efdeaeb40'!H42)+ISNUMBER('66fab14edc4c'!H42)+ISNUMBER(d9a84a7879b5!H42)+ISNUMBER(caf2b28627a3!H42)+ISNUMBER('602e9d1875d1'!H42)+ISNUMBER(f168037f7f37!H42)+ISNUMBER(eb071de1ab08!H42)+ISNUMBER('7b3bd85715a4'!H42)+ISNUMBER(e2a9b537c609!H42)+ISNUMBER(f97457958ce9!H42)+ISNUMBER('281fcc7d7eae'!H42)+ISNUMBER('01454b1cfeba'!H42)+ISNUMBER('79287892b1d7'!H42)+ISNUMBER('1b3f96535b56'!H42),ISNUMBER('1ae03038ed69'!H42)+ISNUMBER('1572eb063e5c'!H42)+ISNUMBER(b6ea66d78823!H42)+ISNUMBER('6d8dcb722ca4'!H42)+ISNUMBER('9306b30af184'!H42)+ISNUMBER('3b760aaeab13'!H42)+ISNUMBER(b2f4402deaee!H42)+ISNUMBER('1c4d314e87cd'!H42)+ISNUMBER(acd4708edfe6!H42)+ISNUMBER('9a32b1f50fb5'!H42)+ISNUMBER('2df562aa32e7'!H42)+ISNUMBER('3a5a3c04bd9d'!H42)+ISNUMBER('192241189337'!H42)+ISNUMBER('23a0423d7f40'!H42)+ISNUMBER('096252bb3796'!H42)+ISNUMBER(a53d1c7f9645!H42)+ISNUMBER('283d32631463'!H42)+ISNUMBER('1a542cfbf2c5'!H42)+ISNUMBER(cf262786a0e1!H42)+ISNUMBER('4b9efdeaeb40'!H42)+ISNUMBER('66fab14edc4c'!H42)+ISNUMBER(d9a84a7879b5!H42)+ISNUMBER(caf2b28627a3!H42)+ISNUMBER('602e9d1875d1'!H42)+ISNUMBER(f168037f7f37!H42)+ISNUMBER(eb071de1ab08!H42)+ISNUMBER('7b3bd85715a4'!H42)+ISNUMBER(e2a9b537c609!H42)+ISNUMBER(f97457958ce9!H42)+ISNUMBER('281fcc7d7eae'!H42)+ISNUMBER('01454b1cfeba'!H42)+ISNUMBER('79287892b1d7'!H42)+ISNUMBER('1b3f96535b56'!H42),"")</f>
        <v/>
      </c>
      <c r="M29" s="18" t="str">
        <f>IF(ISNUMBER('1ae03038ed69'!I42)+ISNUMBER('1572eb063e5c'!I42)+ISNUMBER(b6ea66d78823!I42)+ISNUMBER('6d8dcb722ca4'!I42)+ISNUMBER('9306b30af184'!I42)+ISNUMBER('3b760aaeab13'!I42)+ISNUMBER(b2f4402deaee!I42)+ISNUMBER('1c4d314e87cd'!I42)+ISNUMBER(acd4708edfe6!I42)+ISNUMBER('9a32b1f50fb5'!I42)+ISNUMBER('2df562aa32e7'!I42)+ISNUMBER('3a5a3c04bd9d'!I42)+ISNUMBER('192241189337'!I42)+ISNUMBER('23a0423d7f40'!I42)+ISNUMBER('096252bb3796'!I42)+ISNUMBER(a53d1c7f9645!I42)+ISNUMBER('283d32631463'!I42)+ISNUMBER('1a542cfbf2c5'!I42)+ISNUMBER(cf262786a0e1!I42)+ISNUMBER('4b9efdeaeb40'!I42)+ISNUMBER('66fab14edc4c'!I42)+ISNUMBER(d9a84a7879b5!I42)+ISNUMBER(caf2b28627a3!I42)+ISNUMBER('602e9d1875d1'!I42)+ISNUMBER(f168037f7f37!I42)+ISNUMBER(eb071de1ab08!I42)+ISNUMBER('7b3bd85715a4'!I42)+ISNUMBER(e2a9b537c609!I42)+ISNUMBER(f97457958ce9!I42)+ISNUMBER('281fcc7d7eae'!I42)+ISNUMBER('01454b1cfeba'!I42)+ISNUMBER('79287892b1d7'!I42)+ISNUMBER('1b3f96535b56'!I42),ISNUMBER('1ae03038ed69'!I42)+ISNUMBER('1572eb063e5c'!I42)+ISNUMBER(b6ea66d78823!I42)+ISNUMBER('6d8dcb722ca4'!I42)+ISNUMBER('9306b30af184'!I42)+ISNUMBER('3b760aaeab13'!I42)+ISNUMBER(b2f4402deaee!I42)+ISNUMBER('1c4d314e87cd'!I42)+ISNUMBER(acd4708edfe6!I42)+ISNUMBER('9a32b1f50fb5'!I42)+ISNUMBER('2df562aa32e7'!I42)+ISNUMBER('3a5a3c04bd9d'!I42)+ISNUMBER('192241189337'!I42)+ISNUMBER('23a0423d7f40'!I42)+ISNUMBER('096252bb3796'!I42)+ISNUMBER(a53d1c7f9645!I42)+ISNUMBER('283d32631463'!I42)+ISNUMBER('1a542cfbf2c5'!I42)+ISNUMBER(cf262786a0e1!I42)+ISNUMBER('4b9efdeaeb40'!I42)+ISNUMBER('66fab14edc4c'!I42)+ISNUMBER(d9a84a7879b5!I42)+ISNUMBER(caf2b28627a3!I42)+ISNUMBER('602e9d1875d1'!I42)+ISNUMBER(f168037f7f37!I42)+ISNUMBER(eb071de1ab08!I42)+ISNUMBER('7b3bd85715a4'!I42)+ISNUMBER(e2a9b537c609!I42)+ISNUMBER(f97457958ce9!I42)+ISNUMBER('281fcc7d7eae'!I42)+ISNUMBER('01454b1cfeba'!I42)+ISNUMBER('79287892b1d7'!I42)+ISNUMBER('1b3f96535b56'!I42),"")</f>
        <v/>
      </c>
      <c r="N29" s="18" t="str">
        <f>IF(ISNUMBER('1ae03038ed69'!J42)+ISNUMBER('1572eb063e5c'!J42)+ISNUMBER(b6ea66d78823!J42)+ISNUMBER('6d8dcb722ca4'!J42)+ISNUMBER('9306b30af184'!J42)+ISNUMBER('3b760aaeab13'!J42)+ISNUMBER(b2f4402deaee!J42)+ISNUMBER('1c4d314e87cd'!J42)+ISNUMBER(acd4708edfe6!J42)+ISNUMBER('9a32b1f50fb5'!J42)+ISNUMBER('2df562aa32e7'!J42)+ISNUMBER('3a5a3c04bd9d'!J42)+ISNUMBER('192241189337'!J42)+ISNUMBER('23a0423d7f40'!J42)+ISNUMBER('096252bb3796'!J42)+ISNUMBER(a53d1c7f9645!J42)+ISNUMBER('283d32631463'!J42)+ISNUMBER('1a542cfbf2c5'!J42)+ISNUMBER(cf262786a0e1!J42)+ISNUMBER('4b9efdeaeb40'!J42)+ISNUMBER('66fab14edc4c'!J42)+ISNUMBER(d9a84a7879b5!J42)+ISNUMBER(caf2b28627a3!J42)+ISNUMBER('602e9d1875d1'!J42)+ISNUMBER(f168037f7f37!J42)+ISNUMBER(eb071de1ab08!J42)+ISNUMBER('7b3bd85715a4'!J42)+ISNUMBER(e2a9b537c609!J42)+ISNUMBER(f97457958ce9!J42)+ISNUMBER('281fcc7d7eae'!J42)+ISNUMBER('01454b1cfeba'!J42)+ISNUMBER('79287892b1d7'!J42)+ISNUMBER('1b3f96535b56'!J42),ISNUMBER('1ae03038ed69'!J42)+ISNUMBER('1572eb063e5c'!J42)+ISNUMBER(b6ea66d78823!J42)+ISNUMBER('6d8dcb722ca4'!J42)+ISNUMBER('9306b30af184'!J42)+ISNUMBER('3b760aaeab13'!J42)+ISNUMBER(b2f4402deaee!J42)+ISNUMBER('1c4d314e87cd'!J42)+ISNUMBER(acd4708edfe6!J42)+ISNUMBER('9a32b1f50fb5'!J42)+ISNUMBER('2df562aa32e7'!J42)+ISNUMBER('3a5a3c04bd9d'!J42)+ISNUMBER('192241189337'!J42)+ISNUMBER('23a0423d7f40'!J42)+ISNUMBER('096252bb3796'!J42)+ISNUMBER(a53d1c7f9645!J42)+ISNUMBER('283d32631463'!J42)+ISNUMBER('1a542cfbf2c5'!J42)+ISNUMBER(cf262786a0e1!J42)+ISNUMBER('4b9efdeaeb40'!J42)+ISNUMBER('66fab14edc4c'!J42)+ISNUMBER(d9a84a7879b5!J42)+ISNUMBER(caf2b28627a3!J42)+ISNUMBER('602e9d1875d1'!J42)+ISNUMBER(f168037f7f37!J42)+ISNUMBER(eb071de1ab08!J42)+ISNUMBER('7b3bd85715a4'!J42)+ISNUMBER(e2a9b537c609!J42)+ISNUMBER(f97457958ce9!J42)+ISNUMBER('281fcc7d7eae'!J42)+ISNUMBER('01454b1cfeba'!J42)+ISNUMBER('79287892b1d7'!J42)+ISNUMBER('1b3f96535b56'!J42),"")</f>
        <v/>
      </c>
      <c r="O29" s="17">
        <f>IF(ISNUMBER('1ae03038ed69'!K42)+ISNUMBER('1572eb063e5c'!K42)+ISNUMBER(b6ea66d78823!K42)+ISNUMBER('6d8dcb722ca4'!K42)+ISNUMBER('9306b30af184'!K42)+ISNUMBER('3b760aaeab13'!K42)+ISNUMBER(b2f4402deaee!K42)+ISNUMBER('1c4d314e87cd'!K42)+ISNUMBER(acd4708edfe6!K42)+ISNUMBER('9a32b1f50fb5'!K42)+ISNUMBER('2df562aa32e7'!K42)+ISNUMBER('3a5a3c04bd9d'!K42)+ISNUMBER('192241189337'!K42)+ISNUMBER('23a0423d7f40'!K42)+ISNUMBER('096252bb3796'!K42)+ISNUMBER(a53d1c7f9645!K42)+ISNUMBER('283d32631463'!K42)+ISNUMBER('1a542cfbf2c5'!K42)+ISNUMBER(cf262786a0e1!K42)+ISNUMBER('4b9efdeaeb40'!K42)+ISNUMBER('66fab14edc4c'!K42)+ISNUMBER(d9a84a7879b5!K42)+ISNUMBER(caf2b28627a3!K42)+ISNUMBER('602e9d1875d1'!K42)+ISNUMBER(f168037f7f37!K42)+ISNUMBER(eb071de1ab08!K42)+ISNUMBER('7b3bd85715a4'!K42)+ISNUMBER(e2a9b537c609!K42)+ISNUMBER(f97457958ce9!K42)+ISNUMBER('281fcc7d7eae'!K42)+ISNUMBER('01454b1cfeba'!K42)+ISNUMBER('79287892b1d7'!K42)+ISNUMBER('1b3f96535b56'!K42),ISNUMBER('1ae03038ed69'!K42)+ISNUMBER('1572eb063e5c'!K42)+ISNUMBER(b6ea66d78823!K42)+ISNUMBER('6d8dcb722ca4'!K42)+ISNUMBER('9306b30af184'!K42)+ISNUMBER('3b760aaeab13'!K42)+ISNUMBER(b2f4402deaee!K42)+ISNUMBER('1c4d314e87cd'!K42)+ISNUMBER(acd4708edfe6!K42)+ISNUMBER('9a32b1f50fb5'!K42)+ISNUMBER('2df562aa32e7'!K42)+ISNUMBER('3a5a3c04bd9d'!K42)+ISNUMBER('192241189337'!K42)+ISNUMBER('23a0423d7f40'!K42)+ISNUMBER('096252bb3796'!K42)+ISNUMBER(a53d1c7f9645!K42)+ISNUMBER('283d32631463'!K42)+ISNUMBER('1a542cfbf2c5'!K42)+ISNUMBER(cf262786a0e1!K42)+ISNUMBER('4b9efdeaeb40'!K42)+ISNUMBER('66fab14edc4c'!K42)+ISNUMBER(d9a84a7879b5!K42)+ISNUMBER(caf2b28627a3!K42)+ISNUMBER('602e9d1875d1'!K42)+ISNUMBER(f168037f7f37!K42)+ISNUMBER(eb071de1ab08!K42)+ISNUMBER('7b3bd85715a4'!K42)+ISNUMBER(e2a9b537c609!K42)+ISNUMBER(f97457958ce9!K42)+ISNUMBER('281fcc7d7eae'!K42)+ISNUMBER('01454b1cfeba'!K42)+ISNUMBER('79287892b1d7'!K42)+ISNUMBER('1b3f96535b56'!K42),"")</f>
        <v>2</v>
      </c>
      <c r="P29" s="17">
        <f>IF(ISNUMBER('1ae03038ed69'!L42)+ISNUMBER('1572eb063e5c'!L42)+ISNUMBER(b6ea66d78823!L42)+ISNUMBER('6d8dcb722ca4'!L42)+ISNUMBER('9306b30af184'!L42)+ISNUMBER('3b760aaeab13'!L42)+ISNUMBER(b2f4402deaee!L42)+ISNUMBER('1c4d314e87cd'!L42)+ISNUMBER(acd4708edfe6!L42)+ISNUMBER('9a32b1f50fb5'!L42)+ISNUMBER('2df562aa32e7'!L42)+ISNUMBER('3a5a3c04bd9d'!L42)+ISNUMBER('192241189337'!L42)+ISNUMBER('23a0423d7f40'!L42)+ISNUMBER('096252bb3796'!L42)+ISNUMBER(a53d1c7f9645!L42)+ISNUMBER('283d32631463'!L42)+ISNUMBER('1a542cfbf2c5'!L42)+ISNUMBER(cf262786a0e1!L42)+ISNUMBER('4b9efdeaeb40'!L42)+ISNUMBER('66fab14edc4c'!L42)+ISNUMBER(d9a84a7879b5!L42)+ISNUMBER(caf2b28627a3!L42)+ISNUMBER('602e9d1875d1'!L42)+ISNUMBER(f168037f7f37!L42)+ISNUMBER(eb071de1ab08!L42)+ISNUMBER('7b3bd85715a4'!L42)+ISNUMBER(e2a9b537c609!L42)+ISNUMBER(f97457958ce9!L42)+ISNUMBER('281fcc7d7eae'!L42)+ISNUMBER('01454b1cfeba'!L42)+ISNUMBER('79287892b1d7'!L42)+ISNUMBER('1b3f96535b56'!L42),ISNUMBER('1ae03038ed69'!L42)+ISNUMBER('1572eb063e5c'!L42)+ISNUMBER(b6ea66d78823!L42)+ISNUMBER('6d8dcb722ca4'!L42)+ISNUMBER('9306b30af184'!L42)+ISNUMBER('3b760aaeab13'!L42)+ISNUMBER(b2f4402deaee!L42)+ISNUMBER('1c4d314e87cd'!L42)+ISNUMBER(acd4708edfe6!L42)+ISNUMBER('9a32b1f50fb5'!L42)+ISNUMBER('2df562aa32e7'!L42)+ISNUMBER('3a5a3c04bd9d'!L42)+ISNUMBER('192241189337'!L42)+ISNUMBER('23a0423d7f40'!L42)+ISNUMBER('096252bb3796'!L42)+ISNUMBER(a53d1c7f9645!L42)+ISNUMBER('283d32631463'!L42)+ISNUMBER('1a542cfbf2c5'!L42)+ISNUMBER(cf262786a0e1!L42)+ISNUMBER('4b9efdeaeb40'!L42)+ISNUMBER('66fab14edc4c'!L42)+ISNUMBER(d9a84a7879b5!L42)+ISNUMBER(caf2b28627a3!L42)+ISNUMBER('602e9d1875d1'!L42)+ISNUMBER(f168037f7f37!L42)+ISNUMBER(eb071de1ab08!L42)+ISNUMBER('7b3bd85715a4'!L42)+ISNUMBER(e2a9b537c609!L42)+ISNUMBER(f97457958ce9!L42)+ISNUMBER('281fcc7d7eae'!L42)+ISNUMBER('01454b1cfeba'!L42)+ISNUMBER('79287892b1d7'!L42)+ISNUMBER('1b3f96535b56'!L42),"")</f>
        <v>1</v>
      </c>
      <c r="Q29" s="18">
        <f>IF(ISNUMBER('1ae03038ed69'!M42)+ISNUMBER('1572eb063e5c'!M42)+ISNUMBER(b6ea66d78823!M42)+ISNUMBER('6d8dcb722ca4'!M42)+ISNUMBER('9306b30af184'!M42)+ISNUMBER('3b760aaeab13'!M42)+ISNUMBER(b2f4402deaee!M42)+ISNUMBER('1c4d314e87cd'!M42)+ISNUMBER(acd4708edfe6!M42)+ISNUMBER('9a32b1f50fb5'!M42)+ISNUMBER('2df562aa32e7'!M42)+ISNUMBER('3a5a3c04bd9d'!M42)+ISNUMBER('192241189337'!M42)+ISNUMBER('23a0423d7f40'!M42)+ISNUMBER('096252bb3796'!M42)+ISNUMBER(a53d1c7f9645!M42)+ISNUMBER('283d32631463'!M42)+ISNUMBER('1a542cfbf2c5'!M42)+ISNUMBER(cf262786a0e1!M42)+ISNUMBER('4b9efdeaeb40'!M42)+ISNUMBER('66fab14edc4c'!M42)+ISNUMBER(d9a84a7879b5!M42)+ISNUMBER(caf2b28627a3!M42)+ISNUMBER('602e9d1875d1'!M42)+ISNUMBER(f168037f7f37!M42)+ISNUMBER(eb071de1ab08!M42)+ISNUMBER('7b3bd85715a4'!M42)+ISNUMBER(e2a9b537c609!M42)+ISNUMBER(f97457958ce9!M42)+ISNUMBER('281fcc7d7eae'!M42)+ISNUMBER('01454b1cfeba'!M42)+ISNUMBER('79287892b1d7'!M42)+ISNUMBER('1b3f96535b56'!M42),ISNUMBER('1ae03038ed69'!M42)+ISNUMBER('1572eb063e5c'!M42)+ISNUMBER(b6ea66d78823!M42)+ISNUMBER('6d8dcb722ca4'!M42)+ISNUMBER('9306b30af184'!M42)+ISNUMBER('3b760aaeab13'!M42)+ISNUMBER(b2f4402deaee!M42)+ISNUMBER('1c4d314e87cd'!M42)+ISNUMBER(acd4708edfe6!M42)+ISNUMBER('9a32b1f50fb5'!M42)+ISNUMBER('2df562aa32e7'!M42)+ISNUMBER('3a5a3c04bd9d'!M42)+ISNUMBER('192241189337'!M42)+ISNUMBER('23a0423d7f40'!M42)+ISNUMBER('096252bb3796'!M42)+ISNUMBER(a53d1c7f9645!M42)+ISNUMBER('283d32631463'!M42)+ISNUMBER('1a542cfbf2c5'!M42)+ISNUMBER(cf262786a0e1!M42)+ISNUMBER('4b9efdeaeb40'!M42)+ISNUMBER('66fab14edc4c'!M42)+ISNUMBER(d9a84a7879b5!M42)+ISNUMBER(caf2b28627a3!M42)+ISNUMBER('602e9d1875d1'!M42)+ISNUMBER(f168037f7f37!M42)+ISNUMBER(eb071de1ab08!M42)+ISNUMBER('7b3bd85715a4'!M42)+ISNUMBER(e2a9b537c609!M42)+ISNUMBER(f97457958ce9!M42)+ISNUMBER('281fcc7d7eae'!M42)+ISNUMBER('01454b1cfeba'!M42)+ISNUMBER('79287892b1d7'!M42)+ISNUMBER('1b3f96535b56'!M42),"")</f>
        <v>7</v>
      </c>
      <c r="R29" s="18">
        <f>IF(ISNUMBER('1ae03038ed69'!N42)+ISNUMBER('1572eb063e5c'!N42)+ISNUMBER(b6ea66d78823!N42)+ISNUMBER('6d8dcb722ca4'!N42)+ISNUMBER('9306b30af184'!N42)+ISNUMBER('3b760aaeab13'!N42)+ISNUMBER(b2f4402deaee!N42)+ISNUMBER('1c4d314e87cd'!N42)+ISNUMBER(acd4708edfe6!N42)+ISNUMBER('9a32b1f50fb5'!N42)+ISNUMBER('2df562aa32e7'!N42)+ISNUMBER('3a5a3c04bd9d'!N42)+ISNUMBER('192241189337'!N42)+ISNUMBER('23a0423d7f40'!N42)+ISNUMBER('096252bb3796'!N42)+ISNUMBER(a53d1c7f9645!N42)+ISNUMBER('283d32631463'!N42)+ISNUMBER('1a542cfbf2c5'!N42)+ISNUMBER(cf262786a0e1!N42)+ISNUMBER('4b9efdeaeb40'!N42)+ISNUMBER('66fab14edc4c'!N42)+ISNUMBER(d9a84a7879b5!N42)+ISNUMBER(caf2b28627a3!N42)+ISNUMBER('602e9d1875d1'!N42)+ISNUMBER(f168037f7f37!N42)+ISNUMBER(eb071de1ab08!N42)+ISNUMBER('7b3bd85715a4'!N42)+ISNUMBER(e2a9b537c609!N42)+ISNUMBER(f97457958ce9!N42)+ISNUMBER('281fcc7d7eae'!N42)+ISNUMBER('01454b1cfeba'!N42)+ISNUMBER('79287892b1d7'!N42)+ISNUMBER('1b3f96535b56'!N42),ISNUMBER('1ae03038ed69'!N42)+ISNUMBER('1572eb063e5c'!N42)+ISNUMBER(b6ea66d78823!N42)+ISNUMBER('6d8dcb722ca4'!N42)+ISNUMBER('9306b30af184'!N42)+ISNUMBER('3b760aaeab13'!N42)+ISNUMBER(b2f4402deaee!N42)+ISNUMBER('1c4d314e87cd'!N42)+ISNUMBER(acd4708edfe6!N42)+ISNUMBER('9a32b1f50fb5'!N42)+ISNUMBER('2df562aa32e7'!N42)+ISNUMBER('3a5a3c04bd9d'!N42)+ISNUMBER('192241189337'!N42)+ISNUMBER('23a0423d7f40'!N42)+ISNUMBER('096252bb3796'!N42)+ISNUMBER(a53d1c7f9645!N42)+ISNUMBER('283d32631463'!N42)+ISNUMBER('1a542cfbf2c5'!N42)+ISNUMBER(cf262786a0e1!N42)+ISNUMBER('4b9efdeaeb40'!N42)+ISNUMBER('66fab14edc4c'!N42)+ISNUMBER(d9a84a7879b5!N42)+ISNUMBER(caf2b28627a3!N42)+ISNUMBER('602e9d1875d1'!N42)+ISNUMBER(f168037f7f37!N42)+ISNUMBER(eb071de1ab08!N42)+ISNUMBER('7b3bd85715a4'!N42)+ISNUMBER(e2a9b537c609!N42)+ISNUMBER(f97457958ce9!N42)+ISNUMBER('281fcc7d7eae'!N42)+ISNUMBER('01454b1cfeba'!N42)+ISNUMBER('79287892b1d7'!N42)+ISNUMBER('1b3f96535b56'!N42),"")</f>
        <v>2</v>
      </c>
      <c r="U29" t="s">
        <v>65</v>
      </c>
      <c r="V29" t="s">
        <v>66</v>
      </c>
    </row>
    <row r="30" spans="2:22" ht="15.75" customHeight="1">
      <c r="F30" s="16" t="str">
        <f>F14</f>
        <v>Culture and community ide…</v>
      </c>
      <c r="G30" s="17">
        <f>IF(ISNUMBER('1ae03038ed69'!C43)+ISNUMBER('1572eb063e5c'!C43)+ISNUMBER(b6ea66d78823!C43)+ISNUMBER('6d8dcb722ca4'!C43)+ISNUMBER('9306b30af184'!C43)+ISNUMBER('3b760aaeab13'!C43)+ISNUMBER(b2f4402deaee!C43)+ISNUMBER('1c4d314e87cd'!C43)+ISNUMBER(acd4708edfe6!C43)+ISNUMBER('9a32b1f50fb5'!C43)+ISNUMBER('2df562aa32e7'!C43)+ISNUMBER('3a5a3c04bd9d'!C43)+ISNUMBER('192241189337'!C43)+ISNUMBER('23a0423d7f40'!C43)+ISNUMBER('096252bb3796'!C43)+ISNUMBER(a53d1c7f9645!C43)+ISNUMBER('283d32631463'!C43)+ISNUMBER('1a542cfbf2c5'!C43)+ISNUMBER(cf262786a0e1!C43)+ISNUMBER('4b9efdeaeb40'!C43)+ISNUMBER('66fab14edc4c'!C43)+ISNUMBER(d9a84a7879b5!C43)+ISNUMBER(caf2b28627a3!C43)+ISNUMBER('602e9d1875d1'!C43)+ISNUMBER(f168037f7f37!C43)+ISNUMBER(eb071de1ab08!C43)+ISNUMBER('7b3bd85715a4'!C43)+ISNUMBER(e2a9b537c609!C43)+ISNUMBER(f97457958ce9!C43)+ISNUMBER('281fcc7d7eae'!C43)+ISNUMBER('01454b1cfeba'!C43)+ISNUMBER('79287892b1d7'!C43)+ISNUMBER('1b3f96535b56'!C43),ISNUMBER('1ae03038ed69'!C43)+ISNUMBER('1572eb063e5c'!C43)+ISNUMBER(b6ea66d78823!C43)+ISNUMBER('6d8dcb722ca4'!C43)+ISNUMBER('9306b30af184'!C43)+ISNUMBER('3b760aaeab13'!C43)+ISNUMBER(b2f4402deaee!C43)+ISNUMBER('1c4d314e87cd'!C43)+ISNUMBER(acd4708edfe6!C43)+ISNUMBER('9a32b1f50fb5'!C43)+ISNUMBER('2df562aa32e7'!C43)+ISNUMBER('3a5a3c04bd9d'!C43)+ISNUMBER('192241189337'!C43)+ISNUMBER('23a0423d7f40'!C43)+ISNUMBER('096252bb3796'!C43)+ISNUMBER(a53d1c7f9645!C43)+ISNUMBER('283d32631463'!C43)+ISNUMBER('1a542cfbf2c5'!C43)+ISNUMBER(cf262786a0e1!C43)+ISNUMBER('4b9efdeaeb40'!C43)+ISNUMBER('66fab14edc4c'!C43)+ISNUMBER(d9a84a7879b5!C43)+ISNUMBER(caf2b28627a3!C43)+ISNUMBER('602e9d1875d1'!C43)+ISNUMBER(f168037f7f37!C43)+ISNUMBER(eb071de1ab08!C43)+ISNUMBER('7b3bd85715a4'!C43)+ISNUMBER(e2a9b537c609!C43)+ISNUMBER(f97457958ce9!C43)+ISNUMBER('281fcc7d7eae'!C43)+ISNUMBER('01454b1cfeba'!C43)+ISNUMBER('79287892b1d7'!C43)+ISNUMBER('1b3f96535b56'!C43),"")</f>
        <v>1</v>
      </c>
      <c r="H30" s="17">
        <f>IF(ISNUMBER('1ae03038ed69'!D43)+ISNUMBER('1572eb063e5c'!D43)+ISNUMBER(b6ea66d78823!D43)+ISNUMBER('6d8dcb722ca4'!D43)+ISNUMBER('9306b30af184'!D43)+ISNUMBER('3b760aaeab13'!D43)+ISNUMBER(b2f4402deaee!D43)+ISNUMBER('1c4d314e87cd'!D43)+ISNUMBER(acd4708edfe6!D43)+ISNUMBER('9a32b1f50fb5'!D43)+ISNUMBER('2df562aa32e7'!D43)+ISNUMBER('3a5a3c04bd9d'!D43)+ISNUMBER('192241189337'!D43)+ISNUMBER('23a0423d7f40'!D43)+ISNUMBER('096252bb3796'!D43)+ISNUMBER(a53d1c7f9645!D43)+ISNUMBER('283d32631463'!D43)+ISNUMBER('1a542cfbf2c5'!D43)+ISNUMBER(cf262786a0e1!D43)+ISNUMBER('4b9efdeaeb40'!D43)+ISNUMBER('66fab14edc4c'!D43)+ISNUMBER(d9a84a7879b5!D43)+ISNUMBER(caf2b28627a3!D43)+ISNUMBER('602e9d1875d1'!D43)+ISNUMBER(f168037f7f37!D43)+ISNUMBER(eb071de1ab08!D43)+ISNUMBER('7b3bd85715a4'!D43)+ISNUMBER(e2a9b537c609!D43)+ISNUMBER(f97457958ce9!D43)+ISNUMBER('281fcc7d7eae'!D43)+ISNUMBER('01454b1cfeba'!D43)+ISNUMBER('79287892b1d7'!D43)+ISNUMBER('1b3f96535b56'!D43),ISNUMBER('1ae03038ed69'!D43)+ISNUMBER('1572eb063e5c'!D43)+ISNUMBER(b6ea66d78823!D43)+ISNUMBER('6d8dcb722ca4'!D43)+ISNUMBER('9306b30af184'!D43)+ISNUMBER('3b760aaeab13'!D43)+ISNUMBER(b2f4402deaee!D43)+ISNUMBER('1c4d314e87cd'!D43)+ISNUMBER(acd4708edfe6!D43)+ISNUMBER('9a32b1f50fb5'!D43)+ISNUMBER('2df562aa32e7'!D43)+ISNUMBER('3a5a3c04bd9d'!D43)+ISNUMBER('192241189337'!D43)+ISNUMBER('23a0423d7f40'!D43)+ISNUMBER('096252bb3796'!D43)+ISNUMBER(a53d1c7f9645!D43)+ISNUMBER('283d32631463'!D43)+ISNUMBER('1a542cfbf2c5'!D43)+ISNUMBER(cf262786a0e1!D43)+ISNUMBER('4b9efdeaeb40'!D43)+ISNUMBER('66fab14edc4c'!D43)+ISNUMBER(d9a84a7879b5!D43)+ISNUMBER(caf2b28627a3!D43)+ISNUMBER('602e9d1875d1'!D43)+ISNUMBER(f168037f7f37!D43)+ISNUMBER(eb071de1ab08!D43)+ISNUMBER('7b3bd85715a4'!D43)+ISNUMBER(e2a9b537c609!D43)+ISNUMBER(f97457958ce9!D43)+ISNUMBER('281fcc7d7eae'!D43)+ISNUMBER('01454b1cfeba'!D43)+ISNUMBER('79287892b1d7'!D43)+ISNUMBER('1b3f96535b56'!D43),"")</f>
        <v>1</v>
      </c>
      <c r="I30" s="18">
        <f>IF(ISNUMBER('1ae03038ed69'!E43)+ISNUMBER('1572eb063e5c'!E43)+ISNUMBER(b6ea66d78823!E43)+ISNUMBER('6d8dcb722ca4'!E43)+ISNUMBER('9306b30af184'!E43)+ISNUMBER('3b760aaeab13'!E43)+ISNUMBER(b2f4402deaee!E43)+ISNUMBER('1c4d314e87cd'!E43)+ISNUMBER(acd4708edfe6!E43)+ISNUMBER('9a32b1f50fb5'!E43)+ISNUMBER('2df562aa32e7'!E43)+ISNUMBER('3a5a3c04bd9d'!E43)+ISNUMBER('192241189337'!E43)+ISNUMBER('23a0423d7f40'!E43)+ISNUMBER('096252bb3796'!E43)+ISNUMBER(a53d1c7f9645!E43)+ISNUMBER('283d32631463'!E43)+ISNUMBER('1a542cfbf2c5'!E43)+ISNUMBER(cf262786a0e1!E43)+ISNUMBER('4b9efdeaeb40'!E43)+ISNUMBER('66fab14edc4c'!E43)+ISNUMBER(d9a84a7879b5!E43)+ISNUMBER(caf2b28627a3!E43)+ISNUMBER('602e9d1875d1'!E43)+ISNUMBER(f168037f7f37!E43)+ISNUMBER(eb071de1ab08!E43)+ISNUMBER('7b3bd85715a4'!E43)+ISNUMBER(e2a9b537c609!E43)+ISNUMBER(f97457958ce9!E43)+ISNUMBER('281fcc7d7eae'!E43)+ISNUMBER('01454b1cfeba'!E43)+ISNUMBER('79287892b1d7'!E43)+ISNUMBER('1b3f96535b56'!E43),ISNUMBER('1ae03038ed69'!E43)+ISNUMBER('1572eb063e5c'!E43)+ISNUMBER(b6ea66d78823!E43)+ISNUMBER('6d8dcb722ca4'!E43)+ISNUMBER('9306b30af184'!E43)+ISNUMBER('3b760aaeab13'!E43)+ISNUMBER(b2f4402deaee!E43)+ISNUMBER('1c4d314e87cd'!E43)+ISNUMBER(acd4708edfe6!E43)+ISNUMBER('9a32b1f50fb5'!E43)+ISNUMBER('2df562aa32e7'!E43)+ISNUMBER('3a5a3c04bd9d'!E43)+ISNUMBER('192241189337'!E43)+ISNUMBER('23a0423d7f40'!E43)+ISNUMBER('096252bb3796'!E43)+ISNUMBER(a53d1c7f9645!E43)+ISNUMBER('283d32631463'!E43)+ISNUMBER('1a542cfbf2c5'!E43)+ISNUMBER(cf262786a0e1!E43)+ISNUMBER('4b9efdeaeb40'!E43)+ISNUMBER('66fab14edc4c'!E43)+ISNUMBER(d9a84a7879b5!E43)+ISNUMBER(caf2b28627a3!E43)+ISNUMBER('602e9d1875d1'!E43)+ISNUMBER(f168037f7f37!E43)+ISNUMBER(eb071de1ab08!E43)+ISNUMBER('7b3bd85715a4'!E43)+ISNUMBER(e2a9b537c609!E43)+ISNUMBER(f97457958ce9!E43)+ISNUMBER('281fcc7d7eae'!E43)+ISNUMBER('01454b1cfeba'!E43)+ISNUMBER('79287892b1d7'!E43)+ISNUMBER('1b3f96535b56'!E43),"")</f>
        <v>1</v>
      </c>
      <c r="J30" s="18">
        <f>IF(ISNUMBER('1ae03038ed69'!F43)+ISNUMBER('1572eb063e5c'!F43)+ISNUMBER(b6ea66d78823!F43)+ISNUMBER('6d8dcb722ca4'!F43)+ISNUMBER('9306b30af184'!F43)+ISNUMBER('3b760aaeab13'!F43)+ISNUMBER(b2f4402deaee!F43)+ISNUMBER('1c4d314e87cd'!F43)+ISNUMBER(acd4708edfe6!F43)+ISNUMBER('9a32b1f50fb5'!F43)+ISNUMBER('2df562aa32e7'!F43)+ISNUMBER('3a5a3c04bd9d'!F43)+ISNUMBER('192241189337'!F43)+ISNUMBER('23a0423d7f40'!F43)+ISNUMBER('096252bb3796'!F43)+ISNUMBER(a53d1c7f9645!F43)+ISNUMBER('283d32631463'!F43)+ISNUMBER('1a542cfbf2c5'!F43)+ISNUMBER(cf262786a0e1!F43)+ISNUMBER('4b9efdeaeb40'!F43)+ISNUMBER('66fab14edc4c'!F43)+ISNUMBER(d9a84a7879b5!F43)+ISNUMBER(caf2b28627a3!F43)+ISNUMBER('602e9d1875d1'!F43)+ISNUMBER(f168037f7f37!F43)+ISNUMBER(eb071de1ab08!F43)+ISNUMBER('7b3bd85715a4'!F43)+ISNUMBER(e2a9b537c609!F43)+ISNUMBER(f97457958ce9!F43)+ISNUMBER('281fcc7d7eae'!F43)+ISNUMBER('01454b1cfeba'!F43)+ISNUMBER('79287892b1d7'!F43)+ISNUMBER('1b3f96535b56'!F43),ISNUMBER('1ae03038ed69'!F43)+ISNUMBER('1572eb063e5c'!F43)+ISNUMBER(b6ea66d78823!F43)+ISNUMBER('6d8dcb722ca4'!F43)+ISNUMBER('9306b30af184'!F43)+ISNUMBER('3b760aaeab13'!F43)+ISNUMBER(b2f4402deaee!F43)+ISNUMBER('1c4d314e87cd'!F43)+ISNUMBER(acd4708edfe6!F43)+ISNUMBER('9a32b1f50fb5'!F43)+ISNUMBER('2df562aa32e7'!F43)+ISNUMBER('3a5a3c04bd9d'!F43)+ISNUMBER('192241189337'!F43)+ISNUMBER('23a0423d7f40'!F43)+ISNUMBER('096252bb3796'!F43)+ISNUMBER(a53d1c7f9645!F43)+ISNUMBER('283d32631463'!F43)+ISNUMBER('1a542cfbf2c5'!F43)+ISNUMBER(cf262786a0e1!F43)+ISNUMBER('4b9efdeaeb40'!F43)+ISNUMBER('66fab14edc4c'!F43)+ISNUMBER(d9a84a7879b5!F43)+ISNUMBER(caf2b28627a3!F43)+ISNUMBER('602e9d1875d1'!F43)+ISNUMBER(f168037f7f37!F43)+ISNUMBER(eb071de1ab08!F43)+ISNUMBER('7b3bd85715a4'!F43)+ISNUMBER(e2a9b537c609!F43)+ISNUMBER(f97457958ce9!F43)+ISNUMBER('281fcc7d7eae'!F43)+ISNUMBER('01454b1cfeba'!F43)+ISNUMBER('79287892b1d7'!F43)+ISNUMBER('1b3f96535b56'!F43),"")</f>
        <v>1</v>
      </c>
      <c r="K30" s="17" t="str">
        <f>IF(ISNUMBER('1ae03038ed69'!G43)+ISNUMBER('1572eb063e5c'!G43)+ISNUMBER(b6ea66d78823!G43)+ISNUMBER('6d8dcb722ca4'!G43)+ISNUMBER('9306b30af184'!G43)+ISNUMBER('3b760aaeab13'!G43)+ISNUMBER(b2f4402deaee!G43)+ISNUMBER('1c4d314e87cd'!G43)+ISNUMBER(acd4708edfe6!G43)+ISNUMBER('9a32b1f50fb5'!G43)+ISNUMBER('2df562aa32e7'!G43)+ISNUMBER('3a5a3c04bd9d'!G43)+ISNUMBER('192241189337'!G43)+ISNUMBER('23a0423d7f40'!G43)+ISNUMBER('096252bb3796'!G43)+ISNUMBER(a53d1c7f9645!G43)+ISNUMBER('283d32631463'!G43)+ISNUMBER('1a542cfbf2c5'!G43)+ISNUMBER(cf262786a0e1!G43)+ISNUMBER('4b9efdeaeb40'!G43)+ISNUMBER('66fab14edc4c'!G43)+ISNUMBER(d9a84a7879b5!G43)+ISNUMBER(caf2b28627a3!G43)+ISNUMBER('602e9d1875d1'!G43)+ISNUMBER(f168037f7f37!G43)+ISNUMBER(eb071de1ab08!G43)+ISNUMBER('7b3bd85715a4'!G43)+ISNUMBER(e2a9b537c609!G43)+ISNUMBER(f97457958ce9!G43)+ISNUMBER('281fcc7d7eae'!G43)+ISNUMBER('01454b1cfeba'!G43)+ISNUMBER('79287892b1d7'!G43)+ISNUMBER('1b3f96535b56'!G43),ISNUMBER('1ae03038ed69'!G43)+ISNUMBER('1572eb063e5c'!G43)+ISNUMBER(b6ea66d78823!G43)+ISNUMBER('6d8dcb722ca4'!G43)+ISNUMBER('9306b30af184'!G43)+ISNUMBER('3b760aaeab13'!G43)+ISNUMBER(b2f4402deaee!G43)+ISNUMBER('1c4d314e87cd'!G43)+ISNUMBER(acd4708edfe6!G43)+ISNUMBER('9a32b1f50fb5'!G43)+ISNUMBER('2df562aa32e7'!G43)+ISNUMBER('3a5a3c04bd9d'!G43)+ISNUMBER('192241189337'!G43)+ISNUMBER('23a0423d7f40'!G43)+ISNUMBER('096252bb3796'!G43)+ISNUMBER(a53d1c7f9645!G43)+ISNUMBER('283d32631463'!G43)+ISNUMBER('1a542cfbf2c5'!G43)+ISNUMBER(cf262786a0e1!G43)+ISNUMBER('4b9efdeaeb40'!G43)+ISNUMBER('66fab14edc4c'!G43)+ISNUMBER(d9a84a7879b5!G43)+ISNUMBER(caf2b28627a3!G43)+ISNUMBER('602e9d1875d1'!G43)+ISNUMBER(f168037f7f37!G43)+ISNUMBER(eb071de1ab08!G43)+ISNUMBER('7b3bd85715a4'!G43)+ISNUMBER(e2a9b537c609!G43)+ISNUMBER(f97457958ce9!G43)+ISNUMBER('281fcc7d7eae'!G43)+ISNUMBER('01454b1cfeba'!G43)+ISNUMBER('79287892b1d7'!G43)+ISNUMBER('1b3f96535b56'!G43),"")</f>
        <v/>
      </c>
      <c r="L30" s="17" t="str">
        <f>IF(ISNUMBER('1ae03038ed69'!H43)+ISNUMBER('1572eb063e5c'!H43)+ISNUMBER(b6ea66d78823!H43)+ISNUMBER('6d8dcb722ca4'!H43)+ISNUMBER('9306b30af184'!H43)+ISNUMBER('3b760aaeab13'!H43)+ISNUMBER(b2f4402deaee!H43)+ISNUMBER('1c4d314e87cd'!H43)+ISNUMBER(acd4708edfe6!H43)+ISNUMBER('9a32b1f50fb5'!H43)+ISNUMBER('2df562aa32e7'!H43)+ISNUMBER('3a5a3c04bd9d'!H43)+ISNUMBER('192241189337'!H43)+ISNUMBER('23a0423d7f40'!H43)+ISNUMBER('096252bb3796'!H43)+ISNUMBER(a53d1c7f9645!H43)+ISNUMBER('283d32631463'!H43)+ISNUMBER('1a542cfbf2c5'!H43)+ISNUMBER(cf262786a0e1!H43)+ISNUMBER('4b9efdeaeb40'!H43)+ISNUMBER('66fab14edc4c'!H43)+ISNUMBER(d9a84a7879b5!H43)+ISNUMBER(caf2b28627a3!H43)+ISNUMBER('602e9d1875d1'!H43)+ISNUMBER(f168037f7f37!H43)+ISNUMBER(eb071de1ab08!H43)+ISNUMBER('7b3bd85715a4'!H43)+ISNUMBER(e2a9b537c609!H43)+ISNUMBER(f97457958ce9!H43)+ISNUMBER('281fcc7d7eae'!H43)+ISNUMBER('01454b1cfeba'!H43)+ISNUMBER('79287892b1d7'!H43)+ISNUMBER('1b3f96535b56'!H43),ISNUMBER('1ae03038ed69'!H43)+ISNUMBER('1572eb063e5c'!H43)+ISNUMBER(b6ea66d78823!H43)+ISNUMBER('6d8dcb722ca4'!H43)+ISNUMBER('9306b30af184'!H43)+ISNUMBER('3b760aaeab13'!H43)+ISNUMBER(b2f4402deaee!H43)+ISNUMBER('1c4d314e87cd'!H43)+ISNUMBER(acd4708edfe6!H43)+ISNUMBER('9a32b1f50fb5'!H43)+ISNUMBER('2df562aa32e7'!H43)+ISNUMBER('3a5a3c04bd9d'!H43)+ISNUMBER('192241189337'!H43)+ISNUMBER('23a0423d7f40'!H43)+ISNUMBER('096252bb3796'!H43)+ISNUMBER(a53d1c7f9645!H43)+ISNUMBER('283d32631463'!H43)+ISNUMBER('1a542cfbf2c5'!H43)+ISNUMBER(cf262786a0e1!H43)+ISNUMBER('4b9efdeaeb40'!H43)+ISNUMBER('66fab14edc4c'!H43)+ISNUMBER(d9a84a7879b5!H43)+ISNUMBER(caf2b28627a3!H43)+ISNUMBER('602e9d1875d1'!H43)+ISNUMBER(f168037f7f37!H43)+ISNUMBER(eb071de1ab08!H43)+ISNUMBER('7b3bd85715a4'!H43)+ISNUMBER(e2a9b537c609!H43)+ISNUMBER(f97457958ce9!H43)+ISNUMBER('281fcc7d7eae'!H43)+ISNUMBER('01454b1cfeba'!H43)+ISNUMBER('79287892b1d7'!H43)+ISNUMBER('1b3f96535b56'!H43),"")</f>
        <v/>
      </c>
      <c r="M30" s="18" t="str">
        <f>IF(ISNUMBER('1ae03038ed69'!I43)+ISNUMBER('1572eb063e5c'!I43)+ISNUMBER(b6ea66d78823!I43)+ISNUMBER('6d8dcb722ca4'!I43)+ISNUMBER('9306b30af184'!I43)+ISNUMBER('3b760aaeab13'!I43)+ISNUMBER(b2f4402deaee!I43)+ISNUMBER('1c4d314e87cd'!I43)+ISNUMBER(acd4708edfe6!I43)+ISNUMBER('9a32b1f50fb5'!I43)+ISNUMBER('2df562aa32e7'!I43)+ISNUMBER('3a5a3c04bd9d'!I43)+ISNUMBER('192241189337'!I43)+ISNUMBER('23a0423d7f40'!I43)+ISNUMBER('096252bb3796'!I43)+ISNUMBER(a53d1c7f9645!I43)+ISNUMBER('283d32631463'!I43)+ISNUMBER('1a542cfbf2c5'!I43)+ISNUMBER(cf262786a0e1!I43)+ISNUMBER('4b9efdeaeb40'!I43)+ISNUMBER('66fab14edc4c'!I43)+ISNUMBER(d9a84a7879b5!I43)+ISNUMBER(caf2b28627a3!I43)+ISNUMBER('602e9d1875d1'!I43)+ISNUMBER(f168037f7f37!I43)+ISNUMBER(eb071de1ab08!I43)+ISNUMBER('7b3bd85715a4'!I43)+ISNUMBER(e2a9b537c609!I43)+ISNUMBER(f97457958ce9!I43)+ISNUMBER('281fcc7d7eae'!I43)+ISNUMBER('01454b1cfeba'!I43)+ISNUMBER('79287892b1d7'!I43)+ISNUMBER('1b3f96535b56'!I43),ISNUMBER('1ae03038ed69'!I43)+ISNUMBER('1572eb063e5c'!I43)+ISNUMBER(b6ea66d78823!I43)+ISNUMBER('6d8dcb722ca4'!I43)+ISNUMBER('9306b30af184'!I43)+ISNUMBER('3b760aaeab13'!I43)+ISNUMBER(b2f4402deaee!I43)+ISNUMBER('1c4d314e87cd'!I43)+ISNUMBER(acd4708edfe6!I43)+ISNUMBER('9a32b1f50fb5'!I43)+ISNUMBER('2df562aa32e7'!I43)+ISNUMBER('3a5a3c04bd9d'!I43)+ISNUMBER('192241189337'!I43)+ISNUMBER('23a0423d7f40'!I43)+ISNUMBER('096252bb3796'!I43)+ISNUMBER(a53d1c7f9645!I43)+ISNUMBER('283d32631463'!I43)+ISNUMBER('1a542cfbf2c5'!I43)+ISNUMBER(cf262786a0e1!I43)+ISNUMBER('4b9efdeaeb40'!I43)+ISNUMBER('66fab14edc4c'!I43)+ISNUMBER(d9a84a7879b5!I43)+ISNUMBER(caf2b28627a3!I43)+ISNUMBER('602e9d1875d1'!I43)+ISNUMBER(f168037f7f37!I43)+ISNUMBER(eb071de1ab08!I43)+ISNUMBER('7b3bd85715a4'!I43)+ISNUMBER(e2a9b537c609!I43)+ISNUMBER(f97457958ce9!I43)+ISNUMBER('281fcc7d7eae'!I43)+ISNUMBER('01454b1cfeba'!I43)+ISNUMBER('79287892b1d7'!I43)+ISNUMBER('1b3f96535b56'!I43),"")</f>
        <v/>
      </c>
      <c r="N30" s="18" t="str">
        <f>IF(ISNUMBER('1ae03038ed69'!J43)+ISNUMBER('1572eb063e5c'!J43)+ISNUMBER(b6ea66d78823!J43)+ISNUMBER('6d8dcb722ca4'!J43)+ISNUMBER('9306b30af184'!J43)+ISNUMBER('3b760aaeab13'!J43)+ISNUMBER(b2f4402deaee!J43)+ISNUMBER('1c4d314e87cd'!J43)+ISNUMBER(acd4708edfe6!J43)+ISNUMBER('9a32b1f50fb5'!J43)+ISNUMBER('2df562aa32e7'!J43)+ISNUMBER('3a5a3c04bd9d'!J43)+ISNUMBER('192241189337'!J43)+ISNUMBER('23a0423d7f40'!J43)+ISNUMBER('096252bb3796'!J43)+ISNUMBER(a53d1c7f9645!J43)+ISNUMBER('283d32631463'!J43)+ISNUMBER('1a542cfbf2c5'!J43)+ISNUMBER(cf262786a0e1!J43)+ISNUMBER('4b9efdeaeb40'!J43)+ISNUMBER('66fab14edc4c'!J43)+ISNUMBER(d9a84a7879b5!J43)+ISNUMBER(caf2b28627a3!J43)+ISNUMBER('602e9d1875d1'!J43)+ISNUMBER(f168037f7f37!J43)+ISNUMBER(eb071de1ab08!J43)+ISNUMBER('7b3bd85715a4'!J43)+ISNUMBER(e2a9b537c609!J43)+ISNUMBER(f97457958ce9!J43)+ISNUMBER('281fcc7d7eae'!J43)+ISNUMBER('01454b1cfeba'!J43)+ISNUMBER('79287892b1d7'!J43)+ISNUMBER('1b3f96535b56'!J43),ISNUMBER('1ae03038ed69'!J43)+ISNUMBER('1572eb063e5c'!J43)+ISNUMBER(b6ea66d78823!J43)+ISNUMBER('6d8dcb722ca4'!J43)+ISNUMBER('9306b30af184'!J43)+ISNUMBER('3b760aaeab13'!J43)+ISNUMBER(b2f4402deaee!J43)+ISNUMBER('1c4d314e87cd'!J43)+ISNUMBER(acd4708edfe6!J43)+ISNUMBER('9a32b1f50fb5'!J43)+ISNUMBER('2df562aa32e7'!J43)+ISNUMBER('3a5a3c04bd9d'!J43)+ISNUMBER('192241189337'!J43)+ISNUMBER('23a0423d7f40'!J43)+ISNUMBER('096252bb3796'!J43)+ISNUMBER(a53d1c7f9645!J43)+ISNUMBER('283d32631463'!J43)+ISNUMBER('1a542cfbf2c5'!J43)+ISNUMBER(cf262786a0e1!J43)+ISNUMBER('4b9efdeaeb40'!J43)+ISNUMBER('66fab14edc4c'!J43)+ISNUMBER(d9a84a7879b5!J43)+ISNUMBER(caf2b28627a3!J43)+ISNUMBER('602e9d1875d1'!J43)+ISNUMBER(f168037f7f37!J43)+ISNUMBER(eb071de1ab08!J43)+ISNUMBER('7b3bd85715a4'!J43)+ISNUMBER(e2a9b537c609!J43)+ISNUMBER(f97457958ce9!J43)+ISNUMBER('281fcc7d7eae'!J43)+ISNUMBER('01454b1cfeba'!J43)+ISNUMBER('79287892b1d7'!J43)+ISNUMBER('1b3f96535b56'!J43),"")</f>
        <v/>
      </c>
      <c r="O30" s="17">
        <f>IF(ISNUMBER('1ae03038ed69'!K43)+ISNUMBER('1572eb063e5c'!K43)+ISNUMBER(b6ea66d78823!K43)+ISNUMBER('6d8dcb722ca4'!K43)+ISNUMBER('9306b30af184'!K43)+ISNUMBER('3b760aaeab13'!K43)+ISNUMBER(b2f4402deaee!K43)+ISNUMBER('1c4d314e87cd'!K43)+ISNUMBER(acd4708edfe6!K43)+ISNUMBER('9a32b1f50fb5'!K43)+ISNUMBER('2df562aa32e7'!K43)+ISNUMBER('3a5a3c04bd9d'!K43)+ISNUMBER('192241189337'!K43)+ISNUMBER('23a0423d7f40'!K43)+ISNUMBER('096252bb3796'!K43)+ISNUMBER(a53d1c7f9645!K43)+ISNUMBER('283d32631463'!K43)+ISNUMBER('1a542cfbf2c5'!K43)+ISNUMBER(cf262786a0e1!K43)+ISNUMBER('4b9efdeaeb40'!K43)+ISNUMBER('66fab14edc4c'!K43)+ISNUMBER(d9a84a7879b5!K43)+ISNUMBER(caf2b28627a3!K43)+ISNUMBER('602e9d1875d1'!K43)+ISNUMBER(f168037f7f37!K43)+ISNUMBER(eb071de1ab08!K43)+ISNUMBER('7b3bd85715a4'!K43)+ISNUMBER(e2a9b537c609!K43)+ISNUMBER(f97457958ce9!K43)+ISNUMBER('281fcc7d7eae'!K43)+ISNUMBER('01454b1cfeba'!K43)+ISNUMBER('79287892b1d7'!K43)+ISNUMBER('1b3f96535b56'!K43),ISNUMBER('1ae03038ed69'!K43)+ISNUMBER('1572eb063e5c'!K43)+ISNUMBER(b6ea66d78823!K43)+ISNUMBER('6d8dcb722ca4'!K43)+ISNUMBER('9306b30af184'!K43)+ISNUMBER('3b760aaeab13'!K43)+ISNUMBER(b2f4402deaee!K43)+ISNUMBER('1c4d314e87cd'!K43)+ISNUMBER(acd4708edfe6!K43)+ISNUMBER('9a32b1f50fb5'!K43)+ISNUMBER('2df562aa32e7'!K43)+ISNUMBER('3a5a3c04bd9d'!K43)+ISNUMBER('192241189337'!K43)+ISNUMBER('23a0423d7f40'!K43)+ISNUMBER('096252bb3796'!K43)+ISNUMBER(a53d1c7f9645!K43)+ISNUMBER('283d32631463'!K43)+ISNUMBER('1a542cfbf2c5'!K43)+ISNUMBER(cf262786a0e1!K43)+ISNUMBER('4b9efdeaeb40'!K43)+ISNUMBER('66fab14edc4c'!K43)+ISNUMBER(d9a84a7879b5!K43)+ISNUMBER(caf2b28627a3!K43)+ISNUMBER('602e9d1875d1'!K43)+ISNUMBER(f168037f7f37!K43)+ISNUMBER(eb071de1ab08!K43)+ISNUMBER('7b3bd85715a4'!K43)+ISNUMBER(e2a9b537c609!K43)+ISNUMBER(f97457958ce9!K43)+ISNUMBER('281fcc7d7eae'!K43)+ISNUMBER('01454b1cfeba'!K43)+ISNUMBER('79287892b1d7'!K43)+ISNUMBER('1b3f96535b56'!K43),"")</f>
        <v>4</v>
      </c>
      <c r="P30" s="17" t="str">
        <f>IF(ISNUMBER('1ae03038ed69'!L43)+ISNUMBER('1572eb063e5c'!L43)+ISNUMBER(b6ea66d78823!L43)+ISNUMBER('6d8dcb722ca4'!L43)+ISNUMBER('9306b30af184'!L43)+ISNUMBER('3b760aaeab13'!L43)+ISNUMBER(b2f4402deaee!L43)+ISNUMBER('1c4d314e87cd'!L43)+ISNUMBER(acd4708edfe6!L43)+ISNUMBER('9a32b1f50fb5'!L43)+ISNUMBER('2df562aa32e7'!L43)+ISNUMBER('3a5a3c04bd9d'!L43)+ISNUMBER('192241189337'!L43)+ISNUMBER('23a0423d7f40'!L43)+ISNUMBER('096252bb3796'!L43)+ISNUMBER(a53d1c7f9645!L43)+ISNUMBER('283d32631463'!L43)+ISNUMBER('1a542cfbf2c5'!L43)+ISNUMBER(cf262786a0e1!L43)+ISNUMBER('4b9efdeaeb40'!L43)+ISNUMBER('66fab14edc4c'!L43)+ISNUMBER(d9a84a7879b5!L43)+ISNUMBER(caf2b28627a3!L43)+ISNUMBER('602e9d1875d1'!L43)+ISNUMBER(f168037f7f37!L43)+ISNUMBER(eb071de1ab08!L43)+ISNUMBER('7b3bd85715a4'!L43)+ISNUMBER(e2a9b537c609!L43)+ISNUMBER(f97457958ce9!L43)+ISNUMBER('281fcc7d7eae'!L43)+ISNUMBER('01454b1cfeba'!L43)+ISNUMBER('79287892b1d7'!L43)+ISNUMBER('1b3f96535b56'!L43),ISNUMBER('1ae03038ed69'!L43)+ISNUMBER('1572eb063e5c'!L43)+ISNUMBER(b6ea66d78823!L43)+ISNUMBER('6d8dcb722ca4'!L43)+ISNUMBER('9306b30af184'!L43)+ISNUMBER('3b760aaeab13'!L43)+ISNUMBER(b2f4402deaee!L43)+ISNUMBER('1c4d314e87cd'!L43)+ISNUMBER(acd4708edfe6!L43)+ISNUMBER('9a32b1f50fb5'!L43)+ISNUMBER('2df562aa32e7'!L43)+ISNUMBER('3a5a3c04bd9d'!L43)+ISNUMBER('192241189337'!L43)+ISNUMBER('23a0423d7f40'!L43)+ISNUMBER('096252bb3796'!L43)+ISNUMBER(a53d1c7f9645!L43)+ISNUMBER('283d32631463'!L43)+ISNUMBER('1a542cfbf2c5'!L43)+ISNUMBER(cf262786a0e1!L43)+ISNUMBER('4b9efdeaeb40'!L43)+ISNUMBER('66fab14edc4c'!L43)+ISNUMBER(d9a84a7879b5!L43)+ISNUMBER(caf2b28627a3!L43)+ISNUMBER('602e9d1875d1'!L43)+ISNUMBER(f168037f7f37!L43)+ISNUMBER(eb071de1ab08!L43)+ISNUMBER('7b3bd85715a4'!L43)+ISNUMBER(e2a9b537c609!L43)+ISNUMBER(f97457958ce9!L43)+ISNUMBER('281fcc7d7eae'!L43)+ISNUMBER('01454b1cfeba'!L43)+ISNUMBER('79287892b1d7'!L43)+ISNUMBER('1b3f96535b56'!L43),"")</f>
        <v/>
      </c>
      <c r="Q30" s="18" t="str">
        <f>IF(ISNUMBER('1ae03038ed69'!M43)+ISNUMBER('1572eb063e5c'!M43)+ISNUMBER(b6ea66d78823!M43)+ISNUMBER('6d8dcb722ca4'!M43)+ISNUMBER('9306b30af184'!M43)+ISNUMBER('3b760aaeab13'!M43)+ISNUMBER(b2f4402deaee!M43)+ISNUMBER('1c4d314e87cd'!M43)+ISNUMBER(acd4708edfe6!M43)+ISNUMBER('9a32b1f50fb5'!M43)+ISNUMBER('2df562aa32e7'!M43)+ISNUMBER('3a5a3c04bd9d'!M43)+ISNUMBER('192241189337'!M43)+ISNUMBER('23a0423d7f40'!M43)+ISNUMBER('096252bb3796'!M43)+ISNUMBER(a53d1c7f9645!M43)+ISNUMBER('283d32631463'!M43)+ISNUMBER('1a542cfbf2c5'!M43)+ISNUMBER(cf262786a0e1!M43)+ISNUMBER('4b9efdeaeb40'!M43)+ISNUMBER('66fab14edc4c'!M43)+ISNUMBER(d9a84a7879b5!M43)+ISNUMBER(caf2b28627a3!M43)+ISNUMBER('602e9d1875d1'!M43)+ISNUMBER(f168037f7f37!M43)+ISNUMBER(eb071de1ab08!M43)+ISNUMBER('7b3bd85715a4'!M43)+ISNUMBER(e2a9b537c609!M43)+ISNUMBER(f97457958ce9!M43)+ISNUMBER('281fcc7d7eae'!M43)+ISNUMBER('01454b1cfeba'!M43)+ISNUMBER('79287892b1d7'!M43)+ISNUMBER('1b3f96535b56'!M43),ISNUMBER('1ae03038ed69'!M43)+ISNUMBER('1572eb063e5c'!M43)+ISNUMBER(b6ea66d78823!M43)+ISNUMBER('6d8dcb722ca4'!M43)+ISNUMBER('9306b30af184'!M43)+ISNUMBER('3b760aaeab13'!M43)+ISNUMBER(b2f4402deaee!M43)+ISNUMBER('1c4d314e87cd'!M43)+ISNUMBER(acd4708edfe6!M43)+ISNUMBER('9a32b1f50fb5'!M43)+ISNUMBER('2df562aa32e7'!M43)+ISNUMBER('3a5a3c04bd9d'!M43)+ISNUMBER('192241189337'!M43)+ISNUMBER('23a0423d7f40'!M43)+ISNUMBER('096252bb3796'!M43)+ISNUMBER(a53d1c7f9645!M43)+ISNUMBER('283d32631463'!M43)+ISNUMBER('1a542cfbf2c5'!M43)+ISNUMBER(cf262786a0e1!M43)+ISNUMBER('4b9efdeaeb40'!M43)+ISNUMBER('66fab14edc4c'!M43)+ISNUMBER(d9a84a7879b5!M43)+ISNUMBER(caf2b28627a3!M43)+ISNUMBER('602e9d1875d1'!M43)+ISNUMBER(f168037f7f37!M43)+ISNUMBER(eb071de1ab08!M43)+ISNUMBER('7b3bd85715a4'!M43)+ISNUMBER(e2a9b537c609!M43)+ISNUMBER(f97457958ce9!M43)+ISNUMBER('281fcc7d7eae'!M43)+ISNUMBER('01454b1cfeba'!M43)+ISNUMBER('79287892b1d7'!M43)+ISNUMBER('1b3f96535b56'!M43),"")</f>
        <v/>
      </c>
      <c r="R30" s="18" t="str">
        <f>IF(ISNUMBER('1ae03038ed69'!N43)+ISNUMBER('1572eb063e5c'!N43)+ISNUMBER(b6ea66d78823!N43)+ISNUMBER('6d8dcb722ca4'!N43)+ISNUMBER('9306b30af184'!N43)+ISNUMBER('3b760aaeab13'!N43)+ISNUMBER(b2f4402deaee!N43)+ISNUMBER('1c4d314e87cd'!N43)+ISNUMBER(acd4708edfe6!N43)+ISNUMBER('9a32b1f50fb5'!N43)+ISNUMBER('2df562aa32e7'!N43)+ISNUMBER('3a5a3c04bd9d'!N43)+ISNUMBER('192241189337'!N43)+ISNUMBER('23a0423d7f40'!N43)+ISNUMBER('096252bb3796'!N43)+ISNUMBER(a53d1c7f9645!N43)+ISNUMBER('283d32631463'!N43)+ISNUMBER('1a542cfbf2c5'!N43)+ISNUMBER(cf262786a0e1!N43)+ISNUMBER('4b9efdeaeb40'!N43)+ISNUMBER('66fab14edc4c'!N43)+ISNUMBER(d9a84a7879b5!N43)+ISNUMBER(caf2b28627a3!N43)+ISNUMBER('602e9d1875d1'!N43)+ISNUMBER(f168037f7f37!N43)+ISNUMBER(eb071de1ab08!N43)+ISNUMBER('7b3bd85715a4'!N43)+ISNUMBER(e2a9b537c609!N43)+ISNUMBER(f97457958ce9!N43)+ISNUMBER('281fcc7d7eae'!N43)+ISNUMBER('01454b1cfeba'!N43)+ISNUMBER('79287892b1d7'!N43)+ISNUMBER('1b3f96535b56'!N43),ISNUMBER('1ae03038ed69'!N43)+ISNUMBER('1572eb063e5c'!N43)+ISNUMBER(b6ea66d78823!N43)+ISNUMBER('6d8dcb722ca4'!N43)+ISNUMBER('9306b30af184'!N43)+ISNUMBER('3b760aaeab13'!N43)+ISNUMBER(b2f4402deaee!N43)+ISNUMBER('1c4d314e87cd'!N43)+ISNUMBER(acd4708edfe6!N43)+ISNUMBER('9a32b1f50fb5'!N43)+ISNUMBER('2df562aa32e7'!N43)+ISNUMBER('3a5a3c04bd9d'!N43)+ISNUMBER('192241189337'!N43)+ISNUMBER('23a0423d7f40'!N43)+ISNUMBER('096252bb3796'!N43)+ISNUMBER(a53d1c7f9645!N43)+ISNUMBER('283d32631463'!N43)+ISNUMBER('1a542cfbf2c5'!N43)+ISNUMBER(cf262786a0e1!N43)+ISNUMBER('4b9efdeaeb40'!N43)+ISNUMBER('66fab14edc4c'!N43)+ISNUMBER(d9a84a7879b5!N43)+ISNUMBER(caf2b28627a3!N43)+ISNUMBER('602e9d1875d1'!N43)+ISNUMBER(f168037f7f37!N43)+ISNUMBER(eb071de1ab08!N43)+ISNUMBER('7b3bd85715a4'!N43)+ISNUMBER(e2a9b537c609!N43)+ISNUMBER(f97457958ce9!N43)+ISNUMBER('281fcc7d7eae'!N43)+ISNUMBER('01454b1cfeba'!N43)+ISNUMBER('79287892b1d7'!N43)+ISNUMBER('1b3f96535b56'!N43),"")</f>
        <v/>
      </c>
      <c r="U30" t="s">
        <v>67</v>
      </c>
      <c r="V30" t="s">
        <v>68</v>
      </c>
    </row>
    <row r="31" spans="2:22" ht="15.75" customHeight="1">
      <c r="F31" s="16" t="str">
        <f>F15</f>
        <v>Living together, interdep…</v>
      </c>
      <c r="G31" s="17" t="str">
        <f>IF(ISNUMBER('1ae03038ed69'!C44)+ISNUMBER('1572eb063e5c'!C44)+ISNUMBER(b6ea66d78823!C44)+ISNUMBER('6d8dcb722ca4'!C44)+ISNUMBER('9306b30af184'!C44)+ISNUMBER('3b760aaeab13'!C44)+ISNUMBER(b2f4402deaee!C44)+ISNUMBER('1c4d314e87cd'!C44)+ISNUMBER(acd4708edfe6!C44)+ISNUMBER('9a32b1f50fb5'!C44)+ISNUMBER('2df562aa32e7'!C44)+ISNUMBER('3a5a3c04bd9d'!C44)+ISNUMBER('192241189337'!C44)+ISNUMBER('23a0423d7f40'!C44)+ISNUMBER('096252bb3796'!C44)+ISNUMBER(a53d1c7f9645!C44)+ISNUMBER('283d32631463'!C44)+ISNUMBER('1a542cfbf2c5'!C44)+ISNUMBER(cf262786a0e1!C44)+ISNUMBER('4b9efdeaeb40'!C44)+ISNUMBER('66fab14edc4c'!C44)+ISNUMBER(d9a84a7879b5!C44)+ISNUMBER(caf2b28627a3!C44)+ISNUMBER('602e9d1875d1'!C44)+ISNUMBER(f168037f7f37!C44)+ISNUMBER(eb071de1ab08!C44)+ISNUMBER('7b3bd85715a4'!C44)+ISNUMBER(e2a9b537c609!C44)+ISNUMBER(f97457958ce9!C44)+ISNUMBER('281fcc7d7eae'!C44)+ISNUMBER('01454b1cfeba'!C44)+ISNUMBER('79287892b1d7'!C44)+ISNUMBER('1b3f96535b56'!C44),ISNUMBER('1ae03038ed69'!C44)+ISNUMBER('1572eb063e5c'!C44)+ISNUMBER(b6ea66d78823!C44)+ISNUMBER('6d8dcb722ca4'!C44)+ISNUMBER('9306b30af184'!C44)+ISNUMBER('3b760aaeab13'!C44)+ISNUMBER(b2f4402deaee!C44)+ISNUMBER('1c4d314e87cd'!C44)+ISNUMBER(acd4708edfe6!C44)+ISNUMBER('9a32b1f50fb5'!C44)+ISNUMBER('2df562aa32e7'!C44)+ISNUMBER('3a5a3c04bd9d'!C44)+ISNUMBER('192241189337'!C44)+ISNUMBER('23a0423d7f40'!C44)+ISNUMBER('096252bb3796'!C44)+ISNUMBER(a53d1c7f9645!C44)+ISNUMBER('283d32631463'!C44)+ISNUMBER('1a542cfbf2c5'!C44)+ISNUMBER(cf262786a0e1!C44)+ISNUMBER('4b9efdeaeb40'!C44)+ISNUMBER('66fab14edc4c'!C44)+ISNUMBER(d9a84a7879b5!C44)+ISNUMBER(caf2b28627a3!C44)+ISNUMBER('602e9d1875d1'!C44)+ISNUMBER(f168037f7f37!C44)+ISNUMBER(eb071de1ab08!C44)+ISNUMBER('7b3bd85715a4'!C44)+ISNUMBER(e2a9b537c609!C44)+ISNUMBER(f97457958ce9!C44)+ISNUMBER('281fcc7d7eae'!C44)+ISNUMBER('01454b1cfeba'!C44)+ISNUMBER('79287892b1d7'!C44)+ISNUMBER('1b3f96535b56'!C44),"")</f>
        <v/>
      </c>
      <c r="H31" s="17" t="str">
        <f>IF(ISNUMBER('1ae03038ed69'!D44)+ISNUMBER('1572eb063e5c'!D44)+ISNUMBER(b6ea66d78823!D44)+ISNUMBER('6d8dcb722ca4'!D44)+ISNUMBER('9306b30af184'!D44)+ISNUMBER('3b760aaeab13'!D44)+ISNUMBER(b2f4402deaee!D44)+ISNUMBER('1c4d314e87cd'!D44)+ISNUMBER(acd4708edfe6!D44)+ISNUMBER('9a32b1f50fb5'!D44)+ISNUMBER('2df562aa32e7'!D44)+ISNUMBER('3a5a3c04bd9d'!D44)+ISNUMBER('192241189337'!D44)+ISNUMBER('23a0423d7f40'!D44)+ISNUMBER('096252bb3796'!D44)+ISNUMBER(a53d1c7f9645!D44)+ISNUMBER('283d32631463'!D44)+ISNUMBER('1a542cfbf2c5'!D44)+ISNUMBER(cf262786a0e1!D44)+ISNUMBER('4b9efdeaeb40'!D44)+ISNUMBER('66fab14edc4c'!D44)+ISNUMBER(d9a84a7879b5!D44)+ISNUMBER(caf2b28627a3!D44)+ISNUMBER('602e9d1875d1'!D44)+ISNUMBER(f168037f7f37!D44)+ISNUMBER(eb071de1ab08!D44)+ISNUMBER('7b3bd85715a4'!D44)+ISNUMBER(e2a9b537c609!D44)+ISNUMBER(f97457958ce9!D44)+ISNUMBER('281fcc7d7eae'!D44)+ISNUMBER('01454b1cfeba'!D44)+ISNUMBER('79287892b1d7'!D44)+ISNUMBER('1b3f96535b56'!D44),ISNUMBER('1ae03038ed69'!D44)+ISNUMBER('1572eb063e5c'!D44)+ISNUMBER(b6ea66d78823!D44)+ISNUMBER('6d8dcb722ca4'!D44)+ISNUMBER('9306b30af184'!D44)+ISNUMBER('3b760aaeab13'!D44)+ISNUMBER(b2f4402deaee!D44)+ISNUMBER('1c4d314e87cd'!D44)+ISNUMBER(acd4708edfe6!D44)+ISNUMBER('9a32b1f50fb5'!D44)+ISNUMBER('2df562aa32e7'!D44)+ISNUMBER('3a5a3c04bd9d'!D44)+ISNUMBER('192241189337'!D44)+ISNUMBER('23a0423d7f40'!D44)+ISNUMBER('096252bb3796'!D44)+ISNUMBER(a53d1c7f9645!D44)+ISNUMBER('283d32631463'!D44)+ISNUMBER('1a542cfbf2c5'!D44)+ISNUMBER(cf262786a0e1!D44)+ISNUMBER('4b9efdeaeb40'!D44)+ISNUMBER('66fab14edc4c'!D44)+ISNUMBER(d9a84a7879b5!D44)+ISNUMBER(caf2b28627a3!D44)+ISNUMBER('602e9d1875d1'!D44)+ISNUMBER(f168037f7f37!D44)+ISNUMBER(eb071de1ab08!D44)+ISNUMBER('7b3bd85715a4'!D44)+ISNUMBER(e2a9b537c609!D44)+ISNUMBER(f97457958ce9!D44)+ISNUMBER('281fcc7d7eae'!D44)+ISNUMBER('01454b1cfeba'!D44)+ISNUMBER('79287892b1d7'!D44)+ISNUMBER('1b3f96535b56'!D44),"")</f>
        <v/>
      </c>
      <c r="I31" s="18" t="str">
        <f>IF(ISNUMBER('1ae03038ed69'!E44)+ISNUMBER('1572eb063e5c'!E44)+ISNUMBER(b6ea66d78823!E44)+ISNUMBER('6d8dcb722ca4'!E44)+ISNUMBER('9306b30af184'!E44)+ISNUMBER('3b760aaeab13'!E44)+ISNUMBER(b2f4402deaee!E44)+ISNUMBER('1c4d314e87cd'!E44)+ISNUMBER(acd4708edfe6!E44)+ISNUMBER('9a32b1f50fb5'!E44)+ISNUMBER('2df562aa32e7'!E44)+ISNUMBER('3a5a3c04bd9d'!E44)+ISNUMBER('192241189337'!E44)+ISNUMBER('23a0423d7f40'!E44)+ISNUMBER('096252bb3796'!E44)+ISNUMBER(a53d1c7f9645!E44)+ISNUMBER('283d32631463'!E44)+ISNUMBER('1a542cfbf2c5'!E44)+ISNUMBER(cf262786a0e1!E44)+ISNUMBER('4b9efdeaeb40'!E44)+ISNUMBER('66fab14edc4c'!E44)+ISNUMBER(d9a84a7879b5!E44)+ISNUMBER(caf2b28627a3!E44)+ISNUMBER('602e9d1875d1'!E44)+ISNUMBER(f168037f7f37!E44)+ISNUMBER(eb071de1ab08!E44)+ISNUMBER('7b3bd85715a4'!E44)+ISNUMBER(e2a9b537c609!E44)+ISNUMBER(f97457958ce9!E44)+ISNUMBER('281fcc7d7eae'!E44)+ISNUMBER('01454b1cfeba'!E44)+ISNUMBER('79287892b1d7'!E44)+ISNUMBER('1b3f96535b56'!E44),ISNUMBER('1ae03038ed69'!E44)+ISNUMBER('1572eb063e5c'!E44)+ISNUMBER(b6ea66d78823!E44)+ISNUMBER('6d8dcb722ca4'!E44)+ISNUMBER('9306b30af184'!E44)+ISNUMBER('3b760aaeab13'!E44)+ISNUMBER(b2f4402deaee!E44)+ISNUMBER('1c4d314e87cd'!E44)+ISNUMBER(acd4708edfe6!E44)+ISNUMBER('9a32b1f50fb5'!E44)+ISNUMBER('2df562aa32e7'!E44)+ISNUMBER('3a5a3c04bd9d'!E44)+ISNUMBER('192241189337'!E44)+ISNUMBER('23a0423d7f40'!E44)+ISNUMBER('096252bb3796'!E44)+ISNUMBER(a53d1c7f9645!E44)+ISNUMBER('283d32631463'!E44)+ISNUMBER('1a542cfbf2c5'!E44)+ISNUMBER(cf262786a0e1!E44)+ISNUMBER('4b9efdeaeb40'!E44)+ISNUMBER('66fab14edc4c'!E44)+ISNUMBER(d9a84a7879b5!E44)+ISNUMBER(caf2b28627a3!E44)+ISNUMBER('602e9d1875d1'!E44)+ISNUMBER(f168037f7f37!E44)+ISNUMBER(eb071de1ab08!E44)+ISNUMBER('7b3bd85715a4'!E44)+ISNUMBER(e2a9b537c609!E44)+ISNUMBER(f97457958ce9!E44)+ISNUMBER('281fcc7d7eae'!E44)+ISNUMBER('01454b1cfeba'!E44)+ISNUMBER('79287892b1d7'!E44)+ISNUMBER('1b3f96535b56'!E44),"")</f>
        <v/>
      </c>
      <c r="J31" s="18" t="str">
        <f>IF(ISNUMBER('1ae03038ed69'!F44)+ISNUMBER('1572eb063e5c'!F44)+ISNUMBER(b6ea66d78823!F44)+ISNUMBER('6d8dcb722ca4'!F44)+ISNUMBER('9306b30af184'!F44)+ISNUMBER('3b760aaeab13'!F44)+ISNUMBER(b2f4402deaee!F44)+ISNUMBER('1c4d314e87cd'!F44)+ISNUMBER(acd4708edfe6!F44)+ISNUMBER('9a32b1f50fb5'!F44)+ISNUMBER('2df562aa32e7'!F44)+ISNUMBER('3a5a3c04bd9d'!F44)+ISNUMBER('192241189337'!F44)+ISNUMBER('23a0423d7f40'!F44)+ISNUMBER('096252bb3796'!F44)+ISNUMBER(a53d1c7f9645!F44)+ISNUMBER('283d32631463'!F44)+ISNUMBER('1a542cfbf2c5'!F44)+ISNUMBER(cf262786a0e1!F44)+ISNUMBER('4b9efdeaeb40'!F44)+ISNUMBER('66fab14edc4c'!F44)+ISNUMBER(d9a84a7879b5!F44)+ISNUMBER(caf2b28627a3!F44)+ISNUMBER('602e9d1875d1'!F44)+ISNUMBER(f168037f7f37!F44)+ISNUMBER(eb071de1ab08!F44)+ISNUMBER('7b3bd85715a4'!F44)+ISNUMBER(e2a9b537c609!F44)+ISNUMBER(f97457958ce9!F44)+ISNUMBER('281fcc7d7eae'!F44)+ISNUMBER('01454b1cfeba'!F44)+ISNUMBER('79287892b1d7'!F44)+ISNUMBER('1b3f96535b56'!F44),ISNUMBER('1ae03038ed69'!F44)+ISNUMBER('1572eb063e5c'!F44)+ISNUMBER(b6ea66d78823!F44)+ISNUMBER('6d8dcb722ca4'!F44)+ISNUMBER('9306b30af184'!F44)+ISNUMBER('3b760aaeab13'!F44)+ISNUMBER(b2f4402deaee!F44)+ISNUMBER('1c4d314e87cd'!F44)+ISNUMBER(acd4708edfe6!F44)+ISNUMBER('9a32b1f50fb5'!F44)+ISNUMBER('2df562aa32e7'!F44)+ISNUMBER('3a5a3c04bd9d'!F44)+ISNUMBER('192241189337'!F44)+ISNUMBER('23a0423d7f40'!F44)+ISNUMBER('096252bb3796'!F44)+ISNUMBER(a53d1c7f9645!F44)+ISNUMBER('283d32631463'!F44)+ISNUMBER('1a542cfbf2c5'!F44)+ISNUMBER(cf262786a0e1!F44)+ISNUMBER('4b9efdeaeb40'!F44)+ISNUMBER('66fab14edc4c'!F44)+ISNUMBER(d9a84a7879b5!F44)+ISNUMBER(caf2b28627a3!F44)+ISNUMBER('602e9d1875d1'!F44)+ISNUMBER(f168037f7f37!F44)+ISNUMBER(eb071de1ab08!F44)+ISNUMBER('7b3bd85715a4'!F44)+ISNUMBER(e2a9b537c609!F44)+ISNUMBER(f97457958ce9!F44)+ISNUMBER('281fcc7d7eae'!F44)+ISNUMBER('01454b1cfeba'!F44)+ISNUMBER('79287892b1d7'!F44)+ISNUMBER('1b3f96535b56'!F44),"")</f>
        <v/>
      </c>
      <c r="K31" s="17" t="str">
        <f>IF(ISNUMBER('1ae03038ed69'!G44)+ISNUMBER('1572eb063e5c'!G44)+ISNUMBER(b6ea66d78823!G44)+ISNUMBER('6d8dcb722ca4'!G44)+ISNUMBER('9306b30af184'!G44)+ISNUMBER('3b760aaeab13'!G44)+ISNUMBER(b2f4402deaee!G44)+ISNUMBER('1c4d314e87cd'!G44)+ISNUMBER(acd4708edfe6!G44)+ISNUMBER('9a32b1f50fb5'!G44)+ISNUMBER('2df562aa32e7'!G44)+ISNUMBER('3a5a3c04bd9d'!G44)+ISNUMBER('192241189337'!G44)+ISNUMBER('23a0423d7f40'!G44)+ISNUMBER('096252bb3796'!G44)+ISNUMBER(a53d1c7f9645!G44)+ISNUMBER('283d32631463'!G44)+ISNUMBER('1a542cfbf2c5'!G44)+ISNUMBER(cf262786a0e1!G44)+ISNUMBER('4b9efdeaeb40'!G44)+ISNUMBER('66fab14edc4c'!G44)+ISNUMBER(d9a84a7879b5!G44)+ISNUMBER(caf2b28627a3!G44)+ISNUMBER('602e9d1875d1'!G44)+ISNUMBER(f168037f7f37!G44)+ISNUMBER(eb071de1ab08!G44)+ISNUMBER('7b3bd85715a4'!G44)+ISNUMBER(e2a9b537c609!G44)+ISNUMBER(f97457958ce9!G44)+ISNUMBER('281fcc7d7eae'!G44)+ISNUMBER('01454b1cfeba'!G44)+ISNUMBER('79287892b1d7'!G44)+ISNUMBER('1b3f96535b56'!G44),ISNUMBER('1ae03038ed69'!G44)+ISNUMBER('1572eb063e5c'!G44)+ISNUMBER(b6ea66d78823!G44)+ISNUMBER('6d8dcb722ca4'!G44)+ISNUMBER('9306b30af184'!G44)+ISNUMBER('3b760aaeab13'!G44)+ISNUMBER(b2f4402deaee!G44)+ISNUMBER('1c4d314e87cd'!G44)+ISNUMBER(acd4708edfe6!G44)+ISNUMBER('9a32b1f50fb5'!G44)+ISNUMBER('2df562aa32e7'!G44)+ISNUMBER('3a5a3c04bd9d'!G44)+ISNUMBER('192241189337'!G44)+ISNUMBER('23a0423d7f40'!G44)+ISNUMBER('096252bb3796'!G44)+ISNUMBER(a53d1c7f9645!G44)+ISNUMBER('283d32631463'!G44)+ISNUMBER('1a542cfbf2c5'!G44)+ISNUMBER(cf262786a0e1!G44)+ISNUMBER('4b9efdeaeb40'!G44)+ISNUMBER('66fab14edc4c'!G44)+ISNUMBER(d9a84a7879b5!G44)+ISNUMBER(caf2b28627a3!G44)+ISNUMBER('602e9d1875d1'!G44)+ISNUMBER(f168037f7f37!G44)+ISNUMBER(eb071de1ab08!G44)+ISNUMBER('7b3bd85715a4'!G44)+ISNUMBER(e2a9b537c609!G44)+ISNUMBER(f97457958ce9!G44)+ISNUMBER('281fcc7d7eae'!G44)+ISNUMBER('01454b1cfeba'!G44)+ISNUMBER('79287892b1d7'!G44)+ISNUMBER('1b3f96535b56'!G44),"")</f>
        <v/>
      </c>
      <c r="L31" s="17" t="str">
        <f>IF(ISNUMBER('1ae03038ed69'!H44)+ISNUMBER('1572eb063e5c'!H44)+ISNUMBER(b6ea66d78823!H44)+ISNUMBER('6d8dcb722ca4'!H44)+ISNUMBER('9306b30af184'!H44)+ISNUMBER('3b760aaeab13'!H44)+ISNUMBER(b2f4402deaee!H44)+ISNUMBER('1c4d314e87cd'!H44)+ISNUMBER(acd4708edfe6!H44)+ISNUMBER('9a32b1f50fb5'!H44)+ISNUMBER('2df562aa32e7'!H44)+ISNUMBER('3a5a3c04bd9d'!H44)+ISNUMBER('192241189337'!H44)+ISNUMBER('23a0423d7f40'!H44)+ISNUMBER('096252bb3796'!H44)+ISNUMBER(a53d1c7f9645!H44)+ISNUMBER('283d32631463'!H44)+ISNUMBER('1a542cfbf2c5'!H44)+ISNUMBER(cf262786a0e1!H44)+ISNUMBER('4b9efdeaeb40'!H44)+ISNUMBER('66fab14edc4c'!H44)+ISNUMBER(d9a84a7879b5!H44)+ISNUMBER(caf2b28627a3!H44)+ISNUMBER('602e9d1875d1'!H44)+ISNUMBER(f168037f7f37!H44)+ISNUMBER(eb071de1ab08!H44)+ISNUMBER('7b3bd85715a4'!H44)+ISNUMBER(e2a9b537c609!H44)+ISNUMBER(f97457958ce9!H44)+ISNUMBER('281fcc7d7eae'!H44)+ISNUMBER('01454b1cfeba'!H44)+ISNUMBER('79287892b1d7'!H44)+ISNUMBER('1b3f96535b56'!H44),ISNUMBER('1ae03038ed69'!H44)+ISNUMBER('1572eb063e5c'!H44)+ISNUMBER(b6ea66d78823!H44)+ISNUMBER('6d8dcb722ca4'!H44)+ISNUMBER('9306b30af184'!H44)+ISNUMBER('3b760aaeab13'!H44)+ISNUMBER(b2f4402deaee!H44)+ISNUMBER('1c4d314e87cd'!H44)+ISNUMBER(acd4708edfe6!H44)+ISNUMBER('9a32b1f50fb5'!H44)+ISNUMBER('2df562aa32e7'!H44)+ISNUMBER('3a5a3c04bd9d'!H44)+ISNUMBER('192241189337'!H44)+ISNUMBER('23a0423d7f40'!H44)+ISNUMBER('096252bb3796'!H44)+ISNUMBER(a53d1c7f9645!H44)+ISNUMBER('283d32631463'!H44)+ISNUMBER('1a542cfbf2c5'!H44)+ISNUMBER(cf262786a0e1!H44)+ISNUMBER('4b9efdeaeb40'!H44)+ISNUMBER('66fab14edc4c'!H44)+ISNUMBER(d9a84a7879b5!H44)+ISNUMBER(caf2b28627a3!H44)+ISNUMBER('602e9d1875d1'!H44)+ISNUMBER(f168037f7f37!H44)+ISNUMBER(eb071de1ab08!H44)+ISNUMBER('7b3bd85715a4'!H44)+ISNUMBER(e2a9b537c609!H44)+ISNUMBER(f97457958ce9!H44)+ISNUMBER('281fcc7d7eae'!H44)+ISNUMBER('01454b1cfeba'!H44)+ISNUMBER('79287892b1d7'!H44)+ISNUMBER('1b3f96535b56'!H44),"")</f>
        <v/>
      </c>
      <c r="M31" s="18" t="str">
        <f>IF(ISNUMBER('1ae03038ed69'!I44)+ISNUMBER('1572eb063e5c'!I44)+ISNUMBER(b6ea66d78823!I44)+ISNUMBER('6d8dcb722ca4'!I44)+ISNUMBER('9306b30af184'!I44)+ISNUMBER('3b760aaeab13'!I44)+ISNUMBER(b2f4402deaee!I44)+ISNUMBER('1c4d314e87cd'!I44)+ISNUMBER(acd4708edfe6!I44)+ISNUMBER('9a32b1f50fb5'!I44)+ISNUMBER('2df562aa32e7'!I44)+ISNUMBER('3a5a3c04bd9d'!I44)+ISNUMBER('192241189337'!I44)+ISNUMBER('23a0423d7f40'!I44)+ISNUMBER('096252bb3796'!I44)+ISNUMBER(a53d1c7f9645!I44)+ISNUMBER('283d32631463'!I44)+ISNUMBER('1a542cfbf2c5'!I44)+ISNUMBER(cf262786a0e1!I44)+ISNUMBER('4b9efdeaeb40'!I44)+ISNUMBER('66fab14edc4c'!I44)+ISNUMBER(d9a84a7879b5!I44)+ISNUMBER(caf2b28627a3!I44)+ISNUMBER('602e9d1875d1'!I44)+ISNUMBER(f168037f7f37!I44)+ISNUMBER(eb071de1ab08!I44)+ISNUMBER('7b3bd85715a4'!I44)+ISNUMBER(e2a9b537c609!I44)+ISNUMBER(f97457958ce9!I44)+ISNUMBER('281fcc7d7eae'!I44)+ISNUMBER('01454b1cfeba'!I44)+ISNUMBER('79287892b1d7'!I44)+ISNUMBER('1b3f96535b56'!I44),ISNUMBER('1ae03038ed69'!I44)+ISNUMBER('1572eb063e5c'!I44)+ISNUMBER(b6ea66d78823!I44)+ISNUMBER('6d8dcb722ca4'!I44)+ISNUMBER('9306b30af184'!I44)+ISNUMBER('3b760aaeab13'!I44)+ISNUMBER(b2f4402deaee!I44)+ISNUMBER('1c4d314e87cd'!I44)+ISNUMBER(acd4708edfe6!I44)+ISNUMBER('9a32b1f50fb5'!I44)+ISNUMBER('2df562aa32e7'!I44)+ISNUMBER('3a5a3c04bd9d'!I44)+ISNUMBER('192241189337'!I44)+ISNUMBER('23a0423d7f40'!I44)+ISNUMBER('096252bb3796'!I44)+ISNUMBER(a53d1c7f9645!I44)+ISNUMBER('283d32631463'!I44)+ISNUMBER('1a542cfbf2c5'!I44)+ISNUMBER(cf262786a0e1!I44)+ISNUMBER('4b9efdeaeb40'!I44)+ISNUMBER('66fab14edc4c'!I44)+ISNUMBER(d9a84a7879b5!I44)+ISNUMBER(caf2b28627a3!I44)+ISNUMBER('602e9d1875d1'!I44)+ISNUMBER(f168037f7f37!I44)+ISNUMBER(eb071de1ab08!I44)+ISNUMBER('7b3bd85715a4'!I44)+ISNUMBER(e2a9b537c609!I44)+ISNUMBER(f97457958ce9!I44)+ISNUMBER('281fcc7d7eae'!I44)+ISNUMBER('01454b1cfeba'!I44)+ISNUMBER('79287892b1d7'!I44)+ISNUMBER('1b3f96535b56'!I44),"")</f>
        <v/>
      </c>
      <c r="N31" s="18" t="str">
        <f>IF(ISNUMBER('1ae03038ed69'!J44)+ISNUMBER('1572eb063e5c'!J44)+ISNUMBER(b6ea66d78823!J44)+ISNUMBER('6d8dcb722ca4'!J44)+ISNUMBER('9306b30af184'!J44)+ISNUMBER('3b760aaeab13'!J44)+ISNUMBER(b2f4402deaee!J44)+ISNUMBER('1c4d314e87cd'!J44)+ISNUMBER(acd4708edfe6!J44)+ISNUMBER('9a32b1f50fb5'!J44)+ISNUMBER('2df562aa32e7'!J44)+ISNUMBER('3a5a3c04bd9d'!J44)+ISNUMBER('192241189337'!J44)+ISNUMBER('23a0423d7f40'!J44)+ISNUMBER('096252bb3796'!J44)+ISNUMBER(a53d1c7f9645!J44)+ISNUMBER('283d32631463'!J44)+ISNUMBER('1a542cfbf2c5'!J44)+ISNUMBER(cf262786a0e1!J44)+ISNUMBER('4b9efdeaeb40'!J44)+ISNUMBER('66fab14edc4c'!J44)+ISNUMBER(d9a84a7879b5!J44)+ISNUMBER(caf2b28627a3!J44)+ISNUMBER('602e9d1875d1'!J44)+ISNUMBER(f168037f7f37!J44)+ISNUMBER(eb071de1ab08!J44)+ISNUMBER('7b3bd85715a4'!J44)+ISNUMBER(e2a9b537c609!J44)+ISNUMBER(f97457958ce9!J44)+ISNUMBER('281fcc7d7eae'!J44)+ISNUMBER('01454b1cfeba'!J44)+ISNUMBER('79287892b1d7'!J44)+ISNUMBER('1b3f96535b56'!J44),ISNUMBER('1ae03038ed69'!J44)+ISNUMBER('1572eb063e5c'!J44)+ISNUMBER(b6ea66d78823!J44)+ISNUMBER('6d8dcb722ca4'!J44)+ISNUMBER('9306b30af184'!J44)+ISNUMBER('3b760aaeab13'!J44)+ISNUMBER(b2f4402deaee!J44)+ISNUMBER('1c4d314e87cd'!J44)+ISNUMBER(acd4708edfe6!J44)+ISNUMBER('9a32b1f50fb5'!J44)+ISNUMBER('2df562aa32e7'!J44)+ISNUMBER('3a5a3c04bd9d'!J44)+ISNUMBER('192241189337'!J44)+ISNUMBER('23a0423d7f40'!J44)+ISNUMBER('096252bb3796'!J44)+ISNUMBER(a53d1c7f9645!J44)+ISNUMBER('283d32631463'!J44)+ISNUMBER('1a542cfbf2c5'!J44)+ISNUMBER(cf262786a0e1!J44)+ISNUMBER('4b9efdeaeb40'!J44)+ISNUMBER('66fab14edc4c'!J44)+ISNUMBER(d9a84a7879b5!J44)+ISNUMBER(caf2b28627a3!J44)+ISNUMBER('602e9d1875d1'!J44)+ISNUMBER(f168037f7f37!J44)+ISNUMBER(eb071de1ab08!J44)+ISNUMBER('7b3bd85715a4'!J44)+ISNUMBER(e2a9b537c609!J44)+ISNUMBER(f97457958ce9!J44)+ISNUMBER('281fcc7d7eae'!J44)+ISNUMBER('01454b1cfeba'!J44)+ISNUMBER('79287892b1d7'!J44)+ISNUMBER('1b3f96535b56'!J44),"")</f>
        <v/>
      </c>
      <c r="O31" s="17">
        <f>IF(ISNUMBER('1ae03038ed69'!K44)+ISNUMBER('1572eb063e5c'!K44)+ISNUMBER(b6ea66d78823!K44)+ISNUMBER('6d8dcb722ca4'!K44)+ISNUMBER('9306b30af184'!K44)+ISNUMBER('3b760aaeab13'!K44)+ISNUMBER(b2f4402deaee!K44)+ISNUMBER('1c4d314e87cd'!K44)+ISNUMBER(acd4708edfe6!K44)+ISNUMBER('9a32b1f50fb5'!K44)+ISNUMBER('2df562aa32e7'!K44)+ISNUMBER('3a5a3c04bd9d'!K44)+ISNUMBER('192241189337'!K44)+ISNUMBER('23a0423d7f40'!K44)+ISNUMBER('096252bb3796'!K44)+ISNUMBER(a53d1c7f9645!K44)+ISNUMBER('283d32631463'!K44)+ISNUMBER('1a542cfbf2c5'!K44)+ISNUMBER(cf262786a0e1!K44)+ISNUMBER('4b9efdeaeb40'!K44)+ISNUMBER('66fab14edc4c'!K44)+ISNUMBER(d9a84a7879b5!K44)+ISNUMBER(caf2b28627a3!K44)+ISNUMBER('602e9d1875d1'!K44)+ISNUMBER(f168037f7f37!K44)+ISNUMBER(eb071de1ab08!K44)+ISNUMBER('7b3bd85715a4'!K44)+ISNUMBER(e2a9b537c609!K44)+ISNUMBER(f97457958ce9!K44)+ISNUMBER('281fcc7d7eae'!K44)+ISNUMBER('01454b1cfeba'!K44)+ISNUMBER('79287892b1d7'!K44)+ISNUMBER('1b3f96535b56'!K44),ISNUMBER('1ae03038ed69'!K44)+ISNUMBER('1572eb063e5c'!K44)+ISNUMBER(b6ea66d78823!K44)+ISNUMBER('6d8dcb722ca4'!K44)+ISNUMBER('9306b30af184'!K44)+ISNUMBER('3b760aaeab13'!K44)+ISNUMBER(b2f4402deaee!K44)+ISNUMBER('1c4d314e87cd'!K44)+ISNUMBER(acd4708edfe6!K44)+ISNUMBER('9a32b1f50fb5'!K44)+ISNUMBER('2df562aa32e7'!K44)+ISNUMBER('3a5a3c04bd9d'!K44)+ISNUMBER('192241189337'!K44)+ISNUMBER('23a0423d7f40'!K44)+ISNUMBER('096252bb3796'!K44)+ISNUMBER(a53d1c7f9645!K44)+ISNUMBER('283d32631463'!K44)+ISNUMBER('1a542cfbf2c5'!K44)+ISNUMBER(cf262786a0e1!K44)+ISNUMBER('4b9efdeaeb40'!K44)+ISNUMBER('66fab14edc4c'!K44)+ISNUMBER(d9a84a7879b5!K44)+ISNUMBER(caf2b28627a3!K44)+ISNUMBER('602e9d1875d1'!K44)+ISNUMBER(f168037f7f37!K44)+ISNUMBER(eb071de1ab08!K44)+ISNUMBER('7b3bd85715a4'!K44)+ISNUMBER(e2a9b537c609!K44)+ISNUMBER(f97457958ce9!K44)+ISNUMBER('281fcc7d7eae'!K44)+ISNUMBER('01454b1cfeba'!K44)+ISNUMBER('79287892b1d7'!K44)+ISNUMBER('1b3f96535b56'!K44),"")</f>
        <v>3</v>
      </c>
      <c r="P31" s="17">
        <f>IF(ISNUMBER('1ae03038ed69'!L44)+ISNUMBER('1572eb063e5c'!L44)+ISNUMBER(b6ea66d78823!L44)+ISNUMBER('6d8dcb722ca4'!L44)+ISNUMBER('9306b30af184'!L44)+ISNUMBER('3b760aaeab13'!L44)+ISNUMBER(b2f4402deaee!L44)+ISNUMBER('1c4d314e87cd'!L44)+ISNUMBER(acd4708edfe6!L44)+ISNUMBER('9a32b1f50fb5'!L44)+ISNUMBER('2df562aa32e7'!L44)+ISNUMBER('3a5a3c04bd9d'!L44)+ISNUMBER('192241189337'!L44)+ISNUMBER('23a0423d7f40'!L44)+ISNUMBER('096252bb3796'!L44)+ISNUMBER(a53d1c7f9645!L44)+ISNUMBER('283d32631463'!L44)+ISNUMBER('1a542cfbf2c5'!L44)+ISNUMBER(cf262786a0e1!L44)+ISNUMBER('4b9efdeaeb40'!L44)+ISNUMBER('66fab14edc4c'!L44)+ISNUMBER(d9a84a7879b5!L44)+ISNUMBER(caf2b28627a3!L44)+ISNUMBER('602e9d1875d1'!L44)+ISNUMBER(f168037f7f37!L44)+ISNUMBER(eb071de1ab08!L44)+ISNUMBER('7b3bd85715a4'!L44)+ISNUMBER(e2a9b537c609!L44)+ISNUMBER(f97457958ce9!L44)+ISNUMBER('281fcc7d7eae'!L44)+ISNUMBER('01454b1cfeba'!L44)+ISNUMBER('79287892b1d7'!L44)+ISNUMBER('1b3f96535b56'!L44),ISNUMBER('1ae03038ed69'!L44)+ISNUMBER('1572eb063e5c'!L44)+ISNUMBER(b6ea66d78823!L44)+ISNUMBER('6d8dcb722ca4'!L44)+ISNUMBER('9306b30af184'!L44)+ISNUMBER('3b760aaeab13'!L44)+ISNUMBER(b2f4402deaee!L44)+ISNUMBER('1c4d314e87cd'!L44)+ISNUMBER(acd4708edfe6!L44)+ISNUMBER('9a32b1f50fb5'!L44)+ISNUMBER('2df562aa32e7'!L44)+ISNUMBER('3a5a3c04bd9d'!L44)+ISNUMBER('192241189337'!L44)+ISNUMBER('23a0423d7f40'!L44)+ISNUMBER('096252bb3796'!L44)+ISNUMBER(a53d1c7f9645!L44)+ISNUMBER('283d32631463'!L44)+ISNUMBER('1a542cfbf2c5'!L44)+ISNUMBER(cf262786a0e1!L44)+ISNUMBER('4b9efdeaeb40'!L44)+ISNUMBER('66fab14edc4c'!L44)+ISNUMBER(d9a84a7879b5!L44)+ISNUMBER(caf2b28627a3!L44)+ISNUMBER('602e9d1875d1'!L44)+ISNUMBER(f168037f7f37!L44)+ISNUMBER(eb071de1ab08!L44)+ISNUMBER('7b3bd85715a4'!L44)+ISNUMBER(e2a9b537c609!L44)+ISNUMBER(f97457958ce9!L44)+ISNUMBER('281fcc7d7eae'!L44)+ISNUMBER('01454b1cfeba'!L44)+ISNUMBER('79287892b1d7'!L44)+ISNUMBER('1b3f96535b56'!L44),"")</f>
        <v>1</v>
      </c>
      <c r="Q31" s="18" t="str">
        <f>IF(ISNUMBER('1ae03038ed69'!M44)+ISNUMBER('1572eb063e5c'!M44)+ISNUMBER(b6ea66d78823!M44)+ISNUMBER('6d8dcb722ca4'!M44)+ISNUMBER('9306b30af184'!M44)+ISNUMBER('3b760aaeab13'!M44)+ISNUMBER(b2f4402deaee!M44)+ISNUMBER('1c4d314e87cd'!M44)+ISNUMBER(acd4708edfe6!M44)+ISNUMBER('9a32b1f50fb5'!M44)+ISNUMBER('2df562aa32e7'!M44)+ISNUMBER('3a5a3c04bd9d'!M44)+ISNUMBER('192241189337'!M44)+ISNUMBER('23a0423d7f40'!M44)+ISNUMBER('096252bb3796'!M44)+ISNUMBER(a53d1c7f9645!M44)+ISNUMBER('283d32631463'!M44)+ISNUMBER('1a542cfbf2c5'!M44)+ISNUMBER(cf262786a0e1!M44)+ISNUMBER('4b9efdeaeb40'!M44)+ISNUMBER('66fab14edc4c'!M44)+ISNUMBER(d9a84a7879b5!M44)+ISNUMBER(caf2b28627a3!M44)+ISNUMBER('602e9d1875d1'!M44)+ISNUMBER(f168037f7f37!M44)+ISNUMBER(eb071de1ab08!M44)+ISNUMBER('7b3bd85715a4'!M44)+ISNUMBER(e2a9b537c609!M44)+ISNUMBER(f97457958ce9!M44)+ISNUMBER('281fcc7d7eae'!M44)+ISNUMBER('01454b1cfeba'!M44)+ISNUMBER('79287892b1d7'!M44)+ISNUMBER('1b3f96535b56'!M44),ISNUMBER('1ae03038ed69'!M44)+ISNUMBER('1572eb063e5c'!M44)+ISNUMBER(b6ea66d78823!M44)+ISNUMBER('6d8dcb722ca4'!M44)+ISNUMBER('9306b30af184'!M44)+ISNUMBER('3b760aaeab13'!M44)+ISNUMBER(b2f4402deaee!M44)+ISNUMBER('1c4d314e87cd'!M44)+ISNUMBER(acd4708edfe6!M44)+ISNUMBER('9a32b1f50fb5'!M44)+ISNUMBER('2df562aa32e7'!M44)+ISNUMBER('3a5a3c04bd9d'!M44)+ISNUMBER('192241189337'!M44)+ISNUMBER('23a0423d7f40'!M44)+ISNUMBER('096252bb3796'!M44)+ISNUMBER(a53d1c7f9645!M44)+ISNUMBER('283d32631463'!M44)+ISNUMBER('1a542cfbf2c5'!M44)+ISNUMBER(cf262786a0e1!M44)+ISNUMBER('4b9efdeaeb40'!M44)+ISNUMBER('66fab14edc4c'!M44)+ISNUMBER(d9a84a7879b5!M44)+ISNUMBER(caf2b28627a3!M44)+ISNUMBER('602e9d1875d1'!M44)+ISNUMBER(f168037f7f37!M44)+ISNUMBER(eb071de1ab08!M44)+ISNUMBER('7b3bd85715a4'!M44)+ISNUMBER(e2a9b537c609!M44)+ISNUMBER(f97457958ce9!M44)+ISNUMBER('281fcc7d7eae'!M44)+ISNUMBER('01454b1cfeba'!M44)+ISNUMBER('79287892b1d7'!M44)+ISNUMBER('1b3f96535b56'!M44),"")</f>
        <v/>
      </c>
      <c r="R31" s="18">
        <f>IF(ISNUMBER('1ae03038ed69'!N44)+ISNUMBER('1572eb063e5c'!N44)+ISNUMBER(b6ea66d78823!N44)+ISNUMBER('6d8dcb722ca4'!N44)+ISNUMBER('9306b30af184'!N44)+ISNUMBER('3b760aaeab13'!N44)+ISNUMBER(b2f4402deaee!N44)+ISNUMBER('1c4d314e87cd'!N44)+ISNUMBER(acd4708edfe6!N44)+ISNUMBER('9a32b1f50fb5'!N44)+ISNUMBER('2df562aa32e7'!N44)+ISNUMBER('3a5a3c04bd9d'!N44)+ISNUMBER('192241189337'!N44)+ISNUMBER('23a0423d7f40'!N44)+ISNUMBER('096252bb3796'!N44)+ISNUMBER(a53d1c7f9645!N44)+ISNUMBER('283d32631463'!N44)+ISNUMBER('1a542cfbf2c5'!N44)+ISNUMBER(cf262786a0e1!N44)+ISNUMBER('4b9efdeaeb40'!N44)+ISNUMBER('66fab14edc4c'!N44)+ISNUMBER(d9a84a7879b5!N44)+ISNUMBER(caf2b28627a3!N44)+ISNUMBER('602e9d1875d1'!N44)+ISNUMBER(f168037f7f37!N44)+ISNUMBER(eb071de1ab08!N44)+ISNUMBER('7b3bd85715a4'!N44)+ISNUMBER(e2a9b537c609!N44)+ISNUMBER(f97457958ce9!N44)+ISNUMBER('281fcc7d7eae'!N44)+ISNUMBER('01454b1cfeba'!N44)+ISNUMBER('79287892b1d7'!N44)+ISNUMBER('1b3f96535b56'!N44),ISNUMBER('1ae03038ed69'!N44)+ISNUMBER('1572eb063e5c'!N44)+ISNUMBER(b6ea66d78823!N44)+ISNUMBER('6d8dcb722ca4'!N44)+ISNUMBER('9306b30af184'!N44)+ISNUMBER('3b760aaeab13'!N44)+ISNUMBER(b2f4402deaee!N44)+ISNUMBER('1c4d314e87cd'!N44)+ISNUMBER(acd4708edfe6!N44)+ISNUMBER('9a32b1f50fb5'!N44)+ISNUMBER('2df562aa32e7'!N44)+ISNUMBER('3a5a3c04bd9d'!N44)+ISNUMBER('192241189337'!N44)+ISNUMBER('23a0423d7f40'!N44)+ISNUMBER('096252bb3796'!N44)+ISNUMBER(a53d1c7f9645!N44)+ISNUMBER('283d32631463'!N44)+ISNUMBER('1a542cfbf2c5'!N44)+ISNUMBER(cf262786a0e1!N44)+ISNUMBER('4b9efdeaeb40'!N44)+ISNUMBER('66fab14edc4c'!N44)+ISNUMBER(d9a84a7879b5!N44)+ISNUMBER(caf2b28627a3!N44)+ISNUMBER('602e9d1875d1'!N44)+ISNUMBER(f168037f7f37!N44)+ISNUMBER(eb071de1ab08!N44)+ISNUMBER('7b3bd85715a4'!N44)+ISNUMBER(e2a9b537c609!N44)+ISNUMBER(f97457958ce9!N44)+ISNUMBER('281fcc7d7eae'!N44)+ISNUMBER('01454b1cfeba'!N44)+ISNUMBER('79287892b1d7'!N44)+ISNUMBER('1b3f96535b56'!N44),"")</f>
        <v>1</v>
      </c>
      <c r="U31" t="s">
        <v>69</v>
      </c>
      <c r="V31" t="s">
        <v>40</v>
      </c>
    </row>
    <row r="32" spans="2:22" ht="15.75" customHeight="1">
      <c r="F32" s="16" t="str">
        <f>F16</f>
        <v>Economy and sustainable p…</v>
      </c>
      <c r="G32" s="17">
        <f>IF(ISNUMBER('1ae03038ed69'!C45)+ISNUMBER('1572eb063e5c'!C45)+ISNUMBER(b6ea66d78823!C45)+ISNUMBER('6d8dcb722ca4'!C45)+ISNUMBER('9306b30af184'!C45)+ISNUMBER('3b760aaeab13'!C45)+ISNUMBER(b2f4402deaee!C45)+ISNUMBER('1c4d314e87cd'!C45)+ISNUMBER(acd4708edfe6!C45)+ISNUMBER('9a32b1f50fb5'!C45)+ISNUMBER('2df562aa32e7'!C45)+ISNUMBER('3a5a3c04bd9d'!C45)+ISNUMBER('192241189337'!C45)+ISNUMBER('23a0423d7f40'!C45)+ISNUMBER('096252bb3796'!C45)+ISNUMBER(a53d1c7f9645!C45)+ISNUMBER('283d32631463'!C45)+ISNUMBER('1a542cfbf2c5'!C45)+ISNUMBER(cf262786a0e1!C45)+ISNUMBER('4b9efdeaeb40'!C45)+ISNUMBER('66fab14edc4c'!C45)+ISNUMBER(d9a84a7879b5!C45)+ISNUMBER(caf2b28627a3!C45)+ISNUMBER('602e9d1875d1'!C45)+ISNUMBER(f168037f7f37!C45)+ISNUMBER(eb071de1ab08!C45)+ISNUMBER('7b3bd85715a4'!C45)+ISNUMBER(e2a9b537c609!C45)+ISNUMBER(f97457958ce9!C45)+ISNUMBER('281fcc7d7eae'!C45)+ISNUMBER('01454b1cfeba'!C45)+ISNUMBER('79287892b1d7'!C45)+ISNUMBER('1b3f96535b56'!C45),ISNUMBER('1ae03038ed69'!C45)+ISNUMBER('1572eb063e5c'!C45)+ISNUMBER(b6ea66d78823!C45)+ISNUMBER('6d8dcb722ca4'!C45)+ISNUMBER('9306b30af184'!C45)+ISNUMBER('3b760aaeab13'!C45)+ISNUMBER(b2f4402deaee!C45)+ISNUMBER('1c4d314e87cd'!C45)+ISNUMBER(acd4708edfe6!C45)+ISNUMBER('9a32b1f50fb5'!C45)+ISNUMBER('2df562aa32e7'!C45)+ISNUMBER('3a5a3c04bd9d'!C45)+ISNUMBER('192241189337'!C45)+ISNUMBER('23a0423d7f40'!C45)+ISNUMBER('096252bb3796'!C45)+ISNUMBER(a53d1c7f9645!C45)+ISNUMBER('283d32631463'!C45)+ISNUMBER('1a542cfbf2c5'!C45)+ISNUMBER(cf262786a0e1!C45)+ISNUMBER('4b9efdeaeb40'!C45)+ISNUMBER('66fab14edc4c'!C45)+ISNUMBER(d9a84a7879b5!C45)+ISNUMBER(caf2b28627a3!C45)+ISNUMBER('602e9d1875d1'!C45)+ISNUMBER(f168037f7f37!C45)+ISNUMBER(eb071de1ab08!C45)+ISNUMBER('7b3bd85715a4'!C45)+ISNUMBER(e2a9b537c609!C45)+ISNUMBER(f97457958ce9!C45)+ISNUMBER('281fcc7d7eae'!C45)+ISNUMBER('01454b1cfeba'!C45)+ISNUMBER('79287892b1d7'!C45)+ISNUMBER('1b3f96535b56'!C45),"")</f>
        <v>3</v>
      </c>
      <c r="H32" s="17" t="str">
        <f>IF(ISNUMBER('1ae03038ed69'!D45)+ISNUMBER('1572eb063e5c'!D45)+ISNUMBER(b6ea66d78823!D45)+ISNUMBER('6d8dcb722ca4'!D45)+ISNUMBER('9306b30af184'!D45)+ISNUMBER('3b760aaeab13'!D45)+ISNUMBER(b2f4402deaee!D45)+ISNUMBER('1c4d314e87cd'!D45)+ISNUMBER(acd4708edfe6!D45)+ISNUMBER('9a32b1f50fb5'!D45)+ISNUMBER('2df562aa32e7'!D45)+ISNUMBER('3a5a3c04bd9d'!D45)+ISNUMBER('192241189337'!D45)+ISNUMBER('23a0423d7f40'!D45)+ISNUMBER('096252bb3796'!D45)+ISNUMBER(a53d1c7f9645!D45)+ISNUMBER('283d32631463'!D45)+ISNUMBER('1a542cfbf2c5'!D45)+ISNUMBER(cf262786a0e1!D45)+ISNUMBER('4b9efdeaeb40'!D45)+ISNUMBER('66fab14edc4c'!D45)+ISNUMBER(d9a84a7879b5!D45)+ISNUMBER(caf2b28627a3!D45)+ISNUMBER('602e9d1875d1'!D45)+ISNUMBER(f168037f7f37!D45)+ISNUMBER(eb071de1ab08!D45)+ISNUMBER('7b3bd85715a4'!D45)+ISNUMBER(e2a9b537c609!D45)+ISNUMBER(f97457958ce9!D45)+ISNUMBER('281fcc7d7eae'!D45)+ISNUMBER('01454b1cfeba'!D45)+ISNUMBER('79287892b1d7'!D45)+ISNUMBER('1b3f96535b56'!D45),ISNUMBER('1ae03038ed69'!D45)+ISNUMBER('1572eb063e5c'!D45)+ISNUMBER(b6ea66d78823!D45)+ISNUMBER('6d8dcb722ca4'!D45)+ISNUMBER('9306b30af184'!D45)+ISNUMBER('3b760aaeab13'!D45)+ISNUMBER(b2f4402deaee!D45)+ISNUMBER('1c4d314e87cd'!D45)+ISNUMBER(acd4708edfe6!D45)+ISNUMBER('9a32b1f50fb5'!D45)+ISNUMBER('2df562aa32e7'!D45)+ISNUMBER('3a5a3c04bd9d'!D45)+ISNUMBER('192241189337'!D45)+ISNUMBER('23a0423d7f40'!D45)+ISNUMBER('096252bb3796'!D45)+ISNUMBER(a53d1c7f9645!D45)+ISNUMBER('283d32631463'!D45)+ISNUMBER('1a542cfbf2c5'!D45)+ISNUMBER(cf262786a0e1!D45)+ISNUMBER('4b9efdeaeb40'!D45)+ISNUMBER('66fab14edc4c'!D45)+ISNUMBER(d9a84a7879b5!D45)+ISNUMBER(caf2b28627a3!D45)+ISNUMBER('602e9d1875d1'!D45)+ISNUMBER(f168037f7f37!D45)+ISNUMBER(eb071de1ab08!D45)+ISNUMBER('7b3bd85715a4'!D45)+ISNUMBER(e2a9b537c609!D45)+ISNUMBER(f97457958ce9!D45)+ISNUMBER('281fcc7d7eae'!D45)+ISNUMBER('01454b1cfeba'!D45)+ISNUMBER('79287892b1d7'!D45)+ISNUMBER('1b3f96535b56'!D45),"")</f>
        <v/>
      </c>
      <c r="I32" s="18">
        <f>IF(ISNUMBER('1ae03038ed69'!E45)+ISNUMBER('1572eb063e5c'!E45)+ISNUMBER(b6ea66d78823!E45)+ISNUMBER('6d8dcb722ca4'!E45)+ISNUMBER('9306b30af184'!E45)+ISNUMBER('3b760aaeab13'!E45)+ISNUMBER(b2f4402deaee!E45)+ISNUMBER('1c4d314e87cd'!E45)+ISNUMBER(acd4708edfe6!E45)+ISNUMBER('9a32b1f50fb5'!E45)+ISNUMBER('2df562aa32e7'!E45)+ISNUMBER('3a5a3c04bd9d'!E45)+ISNUMBER('192241189337'!E45)+ISNUMBER('23a0423d7f40'!E45)+ISNUMBER('096252bb3796'!E45)+ISNUMBER(a53d1c7f9645!E45)+ISNUMBER('283d32631463'!E45)+ISNUMBER('1a542cfbf2c5'!E45)+ISNUMBER(cf262786a0e1!E45)+ISNUMBER('4b9efdeaeb40'!E45)+ISNUMBER('66fab14edc4c'!E45)+ISNUMBER(d9a84a7879b5!E45)+ISNUMBER(caf2b28627a3!E45)+ISNUMBER('602e9d1875d1'!E45)+ISNUMBER(f168037f7f37!E45)+ISNUMBER(eb071de1ab08!E45)+ISNUMBER('7b3bd85715a4'!E45)+ISNUMBER(e2a9b537c609!E45)+ISNUMBER(f97457958ce9!E45)+ISNUMBER('281fcc7d7eae'!E45)+ISNUMBER('01454b1cfeba'!E45)+ISNUMBER('79287892b1d7'!E45)+ISNUMBER('1b3f96535b56'!E45),ISNUMBER('1ae03038ed69'!E45)+ISNUMBER('1572eb063e5c'!E45)+ISNUMBER(b6ea66d78823!E45)+ISNUMBER('6d8dcb722ca4'!E45)+ISNUMBER('9306b30af184'!E45)+ISNUMBER('3b760aaeab13'!E45)+ISNUMBER(b2f4402deaee!E45)+ISNUMBER('1c4d314e87cd'!E45)+ISNUMBER(acd4708edfe6!E45)+ISNUMBER('9a32b1f50fb5'!E45)+ISNUMBER('2df562aa32e7'!E45)+ISNUMBER('3a5a3c04bd9d'!E45)+ISNUMBER('192241189337'!E45)+ISNUMBER('23a0423d7f40'!E45)+ISNUMBER('096252bb3796'!E45)+ISNUMBER(a53d1c7f9645!E45)+ISNUMBER('283d32631463'!E45)+ISNUMBER('1a542cfbf2c5'!E45)+ISNUMBER(cf262786a0e1!E45)+ISNUMBER('4b9efdeaeb40'!E45)+ISNUMBER('66fab14edc4c'!E45)+ISNUMBER(d9a84a7879b5!E45)+ISNUMBER(caf2b28627a3!E45)+ISNUMBER('602e9d1875d1'!E45)+ISNUMBER(f168037f7f37!E45)+ISNUMBER(eb071de1ab08!E45)+ISNUMBER('7b3bd85715a4'!E45)+ISNUMBER(e2a9b537c609!E45)+ISNUMBER(f97457958ce9!E45)+ISNUMBER('281fcc7d7eae'!E45)+ISNUMBER('01454b1cfeba'!E45)+ISNUMBER('79287892b1d7'!E45)+ISNUMBER('1b3f96535b56'!E45),"")</f>
        <v>1</v>
      </c>
      <c r="J32" s="18">
        <f>IF(ISNUMBER('1ae03038ed69'!F45)+ISNUMBER('1572eb063e5c'!F45)+ISNUMBER(b6ea66d78823!F45)+ISNUMBER('6d8dcb722ca4'!F45)+ISNUMBER('9306b30af184'!F45)+ISNUMBER('3b760aaeab13'!F45)+ISNUMBER(b2f4402deaee!F45)+ISNUMBER('1c4d314e87cd'!F45)+ISNUMBER(acd4708edfe6!F45)+ISNUMBER('9a32b1f50fb5'!F45)+ISNUMBER('2df562aa32e7'!F45)+ISNUMBER('3a5a3c04bd9d'!F45)+ISNUMBER('192241189337'!F45)+ISNUMBER('23a0423d7f40'!F45)+ISNUMBER('096252bb3796'!F45)+ISNUMBER(a53d1c7f9645!F45)+ISNUMBER('283d32631463'!F45)+ISNUMBER('1a542cfbf2c5'!F45)+ISNUMBER(cf262786a0e1!F45)+ISNUMBER('4b9efdeaeb40'!F45)+ISNUMBER('66fab14edc4c'!F45)+ISNUMBER(d9a84a7879b5!F45)+ISNUMBER(caf2b28627a3!F45)+ISNUMBER('602e9d1875d1'!F45)+ISNUMBER(f168037f7f37!F45)+ISNUMBER(eb071de1ab08!F45)+ISNUMBER('7b3bd85715a4'!F45)+ISNUMBER(e2a9b537c609!F45)+ISNUMBER(f97457958ce9!F45)+ISNUMBER('281fcc7d7eae'!F45)+ISNUMBER('01454b1cfeba'!F45)+ISNUMBER('79287892b1d7'!F45)+ISNUMBER('1b3f96535b56'!F45),ISNUMBER('1ae03038ed69'!F45)+ISNUMBER('1572eb063e5c'!F45)+ISNUMBER(b6ea66d78823!F45)+ISNUMBER('6d8dcb722ca4'!F45)+ISNUMBER('9306b30af184'!F45)+ISNUMBER('3b760aaeab13'!F45)+ISNUMBER(b2f4402deaee!F45)+ISNUMBER('1c4d314e87cd'!F45)+ISNUMBER(acd4708edfe6!F45)+ISNUMBER('9a32b1f50fb5'!F45)+ISNUMBER('2df562aa32e7'!F45)+ISNUMBER('3a5a3c04bd9d'!F45)+ISNUMBER('192241189337'!F45)+ISNUMBER('23a0423d7f40'!F45)+ISNUMBER('096252bb3796'!F45)+ISNUMBER(a53d1c7f9645!F45)+ISNUMBER('283d32631463'!F45)+ISNUMBER('1a542cfbf2c5'!F45)+ISNUMBER(cf262786a0e1!F45)+ISNUMBER('4b9efdeaeb40'!F45)+ISNUMBER('66fab14edc4c'!F45)+ISNUMBER(d9a84a7879b5!F45)+ISNUMBER(caf2b28627a3!F45)+ISNUMBER('602e9d1875d1'!F45)+ISNUMBER(f168037f7f37!F45)+ISNUMBER(eb071de1ab08!F45)+ISNUMBER('7b3bd85715a4'!F45)+ISNUMBER(e2a9b537c609!F45)+ISNUMBER(f97457958ce9!F45)+ISNUMBER('281fcc7d7eae'!F45)+ISNUMBER('01454b1cfeba'!F45)+ISNUMBER('79287892b1d7'!F45)+ISNUMBER('1b3f96535b56'!F45),"")</f>
        <v>1</v>
      </c>
      <c r="K32" s="17">
        <f>IF(ISNUMBER('1ae03038ed69'!G45)+ISNUMBER('1572eb063e5c'!G45)+ISNUMBER(b6ea66d78823!G45)+ISNUMBER('6d8dcb722ca4'!G45)+ISNUMBER('9306b30af184'!G45)+ISNUMBER('3b760aaeab13'!G45)+ISNUMBER(b2f4402deaee!G45)+ISNUMBER('1c4d314e87cd'!G45)+ISNUMBER(acd4708edfe6!G45)+ISNUMBER('9a32b1f50fb5'!G45)+ISNUMBER('2df562aa32e7'!G45)+ISNUMBER('3a5a3c04bd9d'!G45)+ISNUMBER('192241189337'!G45)+ISNUMBER('23a0423d7f40'!G45)+ISNUMBER('096252bb3796'!G45)+ISNUMBER(a53d1c7f9645!G45)+ISNUMBER('283d32631463'!G45)+ISNUMBER('1a542cfbf2c5'!G45)+ISNUMBER(cf262786a0e1!G45)+ISNUMBER('4b9efdeaeb40'!G45)+ISNUMBER('66fab14edc4c'!G45)+ISNUMBER(d9a84a7879b5!G45)+ISNUMBER(caf2b28627a3!G45)+ISNUMBER('602e9d1875d1'!G45)+ISNUMBER(f168037f7f37!G45)+ISNUMBER(eb071de1ab08!G45)+ISNUMBER('7b3bd85715a4'!G45)+ISNUMBER(e2a9b537c609!G45)+ISNUMBER(f97457958ce9!G45)+ISNUMBER('281fcc7d7eae'!G45)+ISNUMBER('01454b1cfeba'!G45)+ISNUMBER('79287892b1d7'!G45)+ISNUMBER('1b3f96535b56'!G45),ISNUMBER('1ae03038ed69'!G45)+ISNUMBER('1572eb063e5c'!G45)+ISNUMBER(b6ea66d78823!G45)+ISNUMBER('6d8dcb722ca4'!G45)+ISNUMBER('9306b30af184'!G45)+ISNUMBER('3b760aaeab13'!G45)+ISNUMBER(b2f4402deaee!G45)+ISNUMBER('1c4d314e87cd'!G45)+ISNUMBER(acd4708edfe6!G45)+ISNUMBER('9a32b1f50fb5'!G45)+ISNUMBER('2df562aa32e7'!G45)+ISNUMBER('3a5a3c04bd9d'!G45)+ISNUMBER('192241189337'!G45)+ISNUMBER('23a0423d7f40'!G45)+ISNUMBER('096252bb3796'!G45)+ISNUMBER(a53d1c7f9645!G45)+ISNUMBER('283d32631463'!G45)+ISNUMBER('1a542cfbf2c5'!G45)+ISNUMBER(cf262786a0e1!G45)+ISNUMBER('4b9efdeaeb40'!G45)+ISNUMBER('66fab14edc4c'!G45)+ISNUMBER(d9a84a7879b5!G45)+ISNUMBER(caf2b28627a3!G45)+ISNUMBER('602e9d1875d1'!G45)+ISNUMBER(f168037f7f37!G45)+ISNUMBER(eb071de1ab08!G45)+ISNUMBER('7b3bd85715a4'!G45)+ISNUMBER(e2a9b537c609!G45)+ISNUMBER(f97457958ce9!G45)+ISNUMBER('281fcc7d7eae'!G45)+ISNUMBER('01454b1cfeba'!G45)+ISNUMBER('79287892b1d7'!G45)+ISNUMBER('1b3f96535b56'!G45),"")</f>
        <v>3</v>
      </c>
      <c r="L32" s="17">
        <f>IF(ISNUMBER('1ae03038ed69'!H45)+ISNUMBER('1572eb063e5c'!H45)+ISNUMBER(b6ea66d78823!H45)+ISNUMBER('6d8dcb722ca4'!H45)+ISNUMBER('9306b30af184'!H45)+ISNUMBER('3b760aaeab13'!H45)+ISNUMBER(b2f4402deaee!H45)+ISNUMBER('1c4d314e87cd'!H45)+ISNUMBER(acd4708edfe6!H45)+ISNUMBER('9a32b1f50fb5'!H45)+ISNUMBER('2df562aa32e7'!H45)+ISNUMBER('3a5a3c04bd9d'!H45)+ISNUMBER('192241189337'!H45)+ISNUMBER('23a0423d7f40'!H45)+ISNUMBER('096252bb3796'!H45)+ISNUMBER(a53d1c7f9645!H45)+ISNUMBER('283d32631463'!H45)+ISNUMBER('1a542cfbf2c5'!H45)+ISNUMBER(cf262786a0e1!H45)+ISNUMBER('4b9efdeaeb40'!H45)+ISNUMBER('66fab14edc4c'!H45)+ISNUMBER(d9a84a7879b5!H45)+ISNUMBER(caf2b28627a3!H45)+ISNUMBER('602e9d1875d1'!H45)+ISNUMBER(f168037f7f37!H45)+ISNUMBER(eb071de1ab08!H45)+ISNUMBER('7b3bd85715a4'!H45)+ISNUMBER(e2a9b537c609!H45)+ISNUMBER(f97457958ce9!H45)+ISNUMBER('281fcc7d7eae'!H45)+ISNUMBER('01454b1cfeba'!H45)+ISNUMBER('79287892b1d7'!H45)+ISNUMBER('1b3f96535b56'!H45),ISNUMBER('1ae03038ed69'!H45)+ISNUMBER('1572eb063e5c'!H45)+ISNUMBER(b6ea66d78823!H45)+ISNUMBER('6d8dcb722ca4'!H45)+ISNUMBER('9306b30af184'!H45)+ISNUMBER('3b760aaeab13'!H45)+ISNUMBER(b2f4402deaee!H45)+ISNUMBER('1c4d314e87cd'!H45)+ISNUMBER(acd4708edfe6!H45)+ISNUMBER('9a32b1f50fb5'!H45)+ISNUMBER('2df562aa32e7'!H45)+ISNUMBER('3a5a3c04bd9d'!H45)+ISNUMBER('192241189337'!H45)+ISNUMBER('23a0423d7f40'!H45)+ISNUMBER('096252bb3796'!H45)+ISNUMBER(a53d1c7f9645!H45)+ISNUMBER('283d32631463'!H45)+ISNUMBER('1a542cfbf2c5'!H45)+ISNUMBER(cf262786a0e1!H45)+ISNUMBER('4b9efdeaeb40'!H45)+ISNUMBER('66fab14edc4c'!H45)+ISNUMBER(d9a84a7879b5!H45)+ISNUMBER(caf2b28627a3!H45)+ISNUMBER('602e9d1875d1'!H45)+ISNUMBER(f168037f7f37!H45)+ISNUMBER(eb071de1ab08!H45)+ISNUMBER('7b3bd85715a4'!H45)+ISNUMBER(e2a9b537c609!H45)+ISNUMBER(f97457958ce9!H45)+ISNUMBER('281fcc7d7eae'!H45)+ISNUMBER('01454b1cfeba'!H45)+ISNUMBER('79287892b1d7'!H45)+ISNUMBER('1b3f96535b56'!H45),"")</f>
        <v>2</v>
      </c>
      <c r="M32" s="18">
        <f>IF(ISNUMBER('1ae03038ed69'!I45)+ISNUMBER('1572eb063e5c'!I45)+ISNUMBER(b6ea66d78823!I45)+ISNUMBER('6d8dcb722ca4'!I45)+ISNUMBER('9306b30af184'!I45)+ISNUMBER('3b760aaeab13'!I45)+ISNUMBER(b2f4402deaee!I45)+ISNUMBER('1c4d314e87cd'!I45)+ISNUMBER(acd4708edfe6!I45)+ISNUMBER('9a32b1f50fb5'!I45)+ISNUMBER('2df562aa32e7'!I45)+ISNUMBER('3a5a3c04bd9d'!I45)+ISNUMBER('192241189337'!I45)+ISNUMBER('23a0423d7f40'!I45)+ISNUMBER('096252bb3796'!I45)+ISNUMBER(a53d1c7f9645!I45)+ISNUMBER('283d32631463'!I45)+ISNUMBER('1a542cfbf2c5'!I45)+ISNUMBER(cf262786a0e1!I45)+ISNUMBER('4b9efdeaeb40'!I45)+ISNUMBER('66fab14edc4c'!I45)+ISNUMBER(d9a84a7879b5!I45)+ISNUMBER(caf2b28627a3!I45)+ISNUMBER('602e9d1875d1'!I45)+ISNUMBER(f168037f7f37!I45)+ISNUMBER(eb071de1ab08!I45)+ISNUMBER('7b3bd85715a4'!I45)+ISNUMBER(e2a9b537c609!I45)+ISNUMBER(f97457958ce9!I45)+ISNUMBER('281fcc7d7eae'!I45)+ISNUMBER('01454b1cfeba'!I45)+ISNUMBER('79287892b1d7'!I45)+ISNUMBER('1b3f96535b56'!I45),ISNUMBER('1ae03038ed69'!I45)+ISNUMBER('1572eb063e5c'!I45)+ISNUMBER(b6ea66d78823!I45)+ISNUMBER('6d8dcb722ca4'!I45)+ISNUMBER('9306b30af184'!I45)+ISNUMBER('3b760aaeab13'!I45)+ISNUMBER(b2f4402deaee!I45)+ISNUMBER('1c4d314e87cd'!I45)+ISNUMBER(acd4708edfe6!I45)+ISNUMBER('9a32b1f50fb5'!I45)+ISNUMBER('2df562aa32e7'!I45)+ISNUMBER('3a5a3c04bd9d'!I45)+ISNUMBER('192241189337'!I45)+ISNUMBER('23a0423d7f40'!I45)+ISNUMBER('096252bb3796'!I45)+ISNUMBER(a53d1c7f9645!I45)+ISNUMBER('283d32631463'!I45)+ISNUMBER('1a542cfbf2c5'!I45)+ISNUMBER(cf262786a0e1!I45)+ISNUMBER('4b9efdeaeb40'!I45)+ISNUMBER('66fab14edc4c'!I45)+ISNUMBER(d9a84a7879b5!I45)+ISNUMBER(caf2b28627a3!I45)+ISNUMBER('602e9d1875d1'!I45)+ISNUMBER(f168037f7f37!I45)+ISNUMBER(eb071de1ab08!I45)+ISNUMBER('7b3bd85715a4'!I45)+ISNUMBER(e2a9b537c609!I45)+ISNUMBER(f97457958ce9!I45)+ISNUMBER('281fcc7d7eae'!I45)+ISNUMBER('01454b1cfeba'!I45)+ISNUMBER('79287892b1d7'!I45)+ISNUMBER('1b3f96535b56'!I45),"")</f>
        <v>8</v>
      </c>
      <c r="N32" s="18">
        <f>IF(ISNUMBER('1ae03038ed69'!J45)+ISNUMBER('1572eb063e5c'!J45)+ISNUMBER(b6ea66d78823!J45)+ISNUMBER('6d8dcb722ca4'!J45)+ISNUMBER('9306b30af184'!J45)+ISNUMBER('3b760aaeab13'!J45)+ISNUMBER(b2f4402deaee!J45)+ISNUMBER('1c4d314e87cd'!J45)+ISNUMBER(acd4708edfe6!J45)+ISNUMBER('9a32b1f50fb5'!J45)+ISNUMBER('2df562aa32e7'!J45)+ISNUMBER('3a5a3c04bd9d'!J45)+ISNUMBER('192241189337'!J45)+ISNUMBER('23a0423d7f40'!J45)+ISNUMBER('096252bb3796'!J45)+ISNUMBER(a53d1c7f9645!J45)+ISNUMBER('283d32631463'!J45)+ISNUMBER('1a542cfbf2c5'!J45)+ISNUMBER(cf262786a0e1!J45)+ISNUMBER('4b9efdeaeb40'!J45)+ISNUMBER('66fab14edc4c'!J45)+ISNUMBER(d9a84a7879b5!J45)+ISNUMBER(caf2b28627a3!J45)+ISNUMBER('602e9d1875d1'!J45)+ISNUMBER(f168037f7f37!J45)+ISNUMBER(eb071de1ab08!J45)+ISNUMBER('7b3bd85715a4'!J45)+ISNUMBER(e2a9b537c609!J45)+ISNUMBER(f97457958ce9!J45)+ISNUMBER('281fcc7d7eae'!J45)+ISNUMBER('01454b1cfeba'!J45)+ISNUMBER('79287892b1d7'!J45)+ISNUMBER('1b3f96535b56'!J45),ISNUMBER('1ae03038ed69'!J45)+ISNUMBER('1572eb063e5c'!J45)+ISNUMBER(b6ea66d78823!J45)+ISNUMBER('6d8dcb722ca4'!J45)+ISNUMBER('9306b30af184'!J45)+ISNUMBER('3b760aaeab13'!J45)+ISNUMBER(b2f4402deaee!J45)+ISNUMBER('1c4d314e87cd'!J45)+ISNUMBER(acd4708edfe6!J45)+ISNUMBER('9a32b1f50fb5'!J45)+ISNUMBER('2df562aa32e7'!J45)+ISNUMBER('3a5a3c04bd9d'!J45)+ISNUMBER('192241189337'!J45)+ISNUMBER('23a0423d7f40'!J45)+ISNUMBER('096252bb3796'!J45)+ISNUMBER(a53d1c7f9645!J45)+ISNUMBER('283d32631463'!J45)+ISNUMBER('1a542cfbf2c5'!J45)+ISNUMBER(cf262786a0e1!J45)+ISNUMBER('4b9efdeaeb40'!J45)+ISNUMBER('66fab14edc4c'!J45)+ISNUMBER(d9a84a7879b5!J45)+ISNUMBER(caf2b28627a3!J45)+ISNUMBER('602e9d1875d1'!J45)+ISNUMBER(f168037f7f37!J45)+ISNUMBER(eb071de1ab08!J45)+ISNUMBER('7b3bd85715a4'!J45)+ISNUMBER(e2a9b537c609!J45)+ISNUMBER(f97457958ce9!J45)+ISNUMBER('281fcc7d7eae'!J45)+ISNUMBER('01454b1cfeba'!J45)+ISNUMBER('79287892b1d7'!J45)+ISNUMBER('1b3f96535b56'!J45),"")</f>
        <v>3</v>
      </c>
      <c r="O32" s="17" t="str">
        <f>IF(ISNUMBER('1ae03038ed69'!K45)+ISNUMBER('1572eb063e5c'!K45)+ISNUMBER(b6ea66d78823!K45)+ISNUMBER('6d8dcb722ca4'!K45)+ISNUMBER('9306b30af184'!K45)+ISNUMBER('3b760aaeab13'!K45)+ISNUMBER(b2f4402deaee!K45)+ISNUMBER('1c4d314e87cd'!K45)+ISNUMBER(acd4708edfe6!K45)+ISNUMBER('9a32b1f50fb5'!K45)+ISNUMBER('2df562aa32e7'!K45)+ISNUMBER('3a5a3c04bd9d'!K45)+ISNUMBER('192241189337'!K45)+ISNUMBER('23a0423d7f40'!K45)+ISNUMBER('096252bb3796'!K45)+ISNUMBER(a53d1c7f9645!K45)+ISNUMBER('283d32631463'!K45)+ISNUMBER('1a542cfbf2c5'!K45)+ISNUMBER(cf262786a0e1!K45)+ISNUMBER('4b9efdeaeb40'!K45)+ISNUMBER('66fab14edc4c'!K45)+ISNUMBER(d9a84a7879b5!K45)+ISNUMBER(caf2b28627a3!K45)+ISNUMBER('602e9d1875d1'!K45)+ISNUMBER(f168037f7f37!K45)+ISNUMBER(eb071de1ab08!K45)+ISNUMBER('7b3bd85715a4'!K45)+ISNUMBER(e2a9b537c609!K45)+ISNUMBER(f97457958ce9!K45)+ISNUMBER('281fcc7d7eae'!K45)+ISNUMBER('01454b1cfeba'!K45)+ISNUMBER('79287892b1d7'!K45)+ISNUMBER('1b3f96535b56'!K45),ISNUMBER('1ae03038ed69'!K45)+ISNUMBER('1572eb063e5c'!K45)+ISNUMBER(b6ea66d78823!K45)+ISNUMBER('6d8dcb722ca4'!K45)+ISNUMBER('9306b30af184'!K45)+ISNUMBER('3b760aaeab13'!K45)+ISNUMBER(b2f4402deaee!K45)+ISNUMBER('1c4d314e87cd'!K45)+ISNUMBER(acd4708edfe6!K45)+ISNUMBER('9a32b1f50fb5'!K45)+ISNUMBER('2df562aa32e7'!K45)+ISNUMBER('3a5a3c04bd9d'!K45)+ISNUMBER('192241189337'!K45)+ISNUMBER('23a0423d7f40'!K45)+ISNUMBER('096252bb3796'!K45)+ISNUMBER(a53d1c7f9645!K45)+ISNUMBER('283d32631463'!K45)+ISNUMBER('1a542cfbf2c5'!K45)+ISNUMBER(cf262786a0e1!K45)+ISNUMBER('4b9efdeaeb40'!K45)+ISNUMBER('66fab14edc4c'!K45)+ISNUMBER(d9a84a7879b5!K45)+ISNUMBER(caf2b28627a3!K45)+ISNUMBER('602e9d1875d1'!K45)+ISNUMBER(f168037f7f37!K45)+ISNUMBER(eb071de1ab08!K45)+ISNUMBER('7b3bd85715a4'!K45)+ISNUMBER(e2a9b537c609!K45)+ISNUMBER(f97457958ce9!K45)+ISNUMBER('281fcc7d7eae'!K45)+ISNUMBER('01454b1cfeba'!K45)+ISNUMBER('79287892b1d7'!K45)+ISNUMBER('1b3f96535b56'!K45),"")</f>
        <v/>
      </c>
      <c r="P32" s="17">
        <f>IF(ISNUMBER('1ae03038ed69'!L45)+ISNUMBER('1572eb063e5c'!L45)+ISNUMBER(b6ea66d78823!L45)+ISNUMBER('6d8dcb722ca4'!L45)+ISNUMBER('9306b30af184'!L45)+ISNUMBER('3b760aaeab13'!L45)+ISNUMBER(b2f4402deaee!L45)+ISNUMBER('1c4d314e87cd'!L45)+ISNUMBER(acd4708edfe6!L45)+ISNUMBER('9a32b1f50fb5'!L45)+ISNUMBER('2df562aa32e7'!L45)+ISNUMBER('3a5a3c04bd9d'!L45)+ISNUMBER('192241189337'!L45)+ISNUMBER('23a0423d7f40'!L45)+ISNUMBER('096252bb3796'!L45)+ISNUMBER(a53d1c7f9645!L45)+ISNUMBER('283d32631463'!L45)+ISNUMBER('1a542cfbf2c5'!L45)+ISNUMBER(cf262786a0e1!L45)+ISNUMBER('4b9efdeaeb40'!L45)+ISNUMBER('66fab14edc4c'!L45)+ISNUMBER(d9a84a7879b5!L45)+ISNUMBER(caf2b28627a3!L45)+ISNUMBER('602e9d1875d1'!L45)+ISNUMBER(f168037f7f37!L45)+ISNUMBER(eb071de1ab08!L45)+ISNUMBER('7b3bd85715a4'!L45)+ISNUMBER(e2a9b537c609!L45)+ISNUMBER(f97457958ce9!L45)+ISNUMBER('281fcc7d7eae'!L45)+ISNUMBER('01454b1cfeba'!L45)+ISNUMBER('79287892b1d7'!L45)+ISNUMBER('1b3f96535b56'!L45),ISNUMBER('1ae03038ed69'!L45)+ISNUMBER('1572eb063e5c'!L45)+ISNUMBER(b6ea66d78823!L45)+ISNUMBER('6d8dcb722ca4'!L45)+ISNUMBER('9306b30af184'!L45)+ISNUMBER('3b760aaeab13'!L45)+ISNUMBER(b2f4402deaee!L45)+ISNUMBER('1c4d314e87cd'!L45)+ISNUMBER(acd4708edfe6!L45)+ISNUMBER('9a32b1f50fb5'!L45)+ISNUMBER('2df562aa32e7'!L45)+ISNUMBER('3a5a3c04bd9d'!L45)+ISNUMBER('192241189337'!L45)+ISNUMBER('23a0423d7f40'!L45)+ISNUMBER('096252bb3796'!L45)+ISNUMBER(a53d1c7f9645!L45)+ISNUMBER('283d32631463'!L45)+ISNUMBER('1a542cfbf2c5'!L45)+ISNUMBER(cf262786a0e1!L45)+ISNUMBER('4b9efdeaeb40'!L45)+ISNUMBER('66fab14edc4c'!L45)+ISNUMBER(d9a84a7879b5!L45)+ISNUMBER(caf2b28627a3!L45)+ISNUMBER('602e9d1875d1'!L45)+ISNUMBER(f168037f7f37!L45)+ISNUMBER(eb071de1ab08!L45)+ISNUMBER('7b3bd85715a4'!L45)+ISNUMBER(e2a9b537c609!L45)+ISNUMBER(f97457958ce9!L45)+ISNUMBER('281fcc7d7eae'!L45)+ISNUMBER('01454b1cfeba'!L45)+ISNUMBER('79287892b1d7'!L45)+ISNUMBER('1b3f96535b56'!L45),"")</f>
        <v>1</v>
      </c>
      <c r="Q32" s="18">
        <f>IF(ISNUMBER('1ae03038ed69'!M45)+ISNUMBER('1572eb063e5c'!M45)+ISNUMBER(b6ea66d78823!M45)+ISNUMBER('6d8dcb722ca4'!M45)+ISNUMBER('9306b30af184'!M45)+ISNUMBER('3b760aaeab13'!M45)+ISNUMBER(b2f4402deaee!M45)+ISNUMBER('1c4d314e87cd'!M45)+ISNUMBER(acd4708edfe6!M45)+ISNUMBER('9a32b1f50fb5'!M45)+ISNUMBER('2df562aa32e7'!M45)+ISNUMBER('3a5a3c04bd9d'!M45)+ISNUMBER('192241189337'!M45)+ISNUMBER('23a0423d7f40'!M45)+ISNUMBER('096252bb3796'!M45)+ISNUMBER(a53d1c7f9645!M45)+ISNUMBER('283d32631463'!M45)+ISNUMBER('1a542cfbf2c5'!M45)+ISNUMBER(cf262786a0e1!M45)+ISNUMBER('4b9efdeaeb40'!M45)+ISNUMBER('66fab14edc4c'!M45)+ISNUMBER(d9a84a7879b5!M45)+ISNUMBER(caf2b28627a3!M45)+ISNUMBER('602e9d1875d1'!M45)+ISNUMBER(f168037f7f37!M45)+ISNUMBER(eb071de1ab08!M45)+ISNUMBER('7b3bd85715a4'!M45)+ISNUMBER(e2a9b537c609!M45)+ISNUMBER(f97457958ce9!M45)+ISNUMBER('281fcc7d7eae'!M45)+ISNUMBER('01454b1cfeba'!M45)+ISNUMBER('79287892b1d7'!M45)+ISNUMBER('1b3f96535b56'!M45),ISNUMBER('1ae03038ed69'!M45)+ISNUMBER('1572eb063e5c'!M45)+ISNUMBER(b6ea66d78823!M45)+ISNUMBER('6d8dcb722ca4'!M45)+ISNUMBER('9306b30af184'!M45)+ISNUMBER('3b760aaeab13'!M45)+ISNUMBER(b2f4402deaee!M45)+ISNUMBER('1c4d314e87cd'!M45)+ISNUMBER(acd4708edfe6!M45)+ISNUMBER('9a32b1f50fb5'!M45)+ISNUMBER('2df562aa32e7'!M45)+ISNUMBER('3a5a3c04bd9d'!M45)+ISNUMBER('192241189337'!M45)+ISNUMBER('23a0423d7f40'!M45)+ISNUMBER('096252bb3796'!M45)+ISNUMBER(a53d1c7f9645!M45)+ISNUMBER('283d32631463'!M45)+ISNUMBER('1a542cfbf2c5'!M45)+ISNUMBER(cf262786a0e1!M45)+ISNUMBER('4b9efdeaeb40'!M45)+ISNUMBER('66fab14edc4c'!M45)+ISNUMBER(d9a84a7879b5!M45)+ISNUMBER(caf2b28627a3!M45)+ISNUMBER('602e9d1875d1'!M45)+ISNUMBER(f168037f7f37!M45)+ISNUMBER(eb071de1ab08!M45)+ISNUMBER('7b3bd85715a4'!M45)+ISNUMBER(e2a9b537c609!M45)+ISNUMBER(f97457958ce9!M45)+ISNUMBER('281fcc7d7eae'!M45)+ISNUMBER('01454b1cfeba'!M45)+ISNUMBER('79287892b1d7'!M45)+ISNUMBER('1b3f96535b56'!M45),"")</f>
        <v>1</v>
      </c>
      <c r="R32" s="18">
        <f>IF(ISNUMBER('1ae03038ed69'!N45)+ISNUMBER('1572eb063e5c'!N45)+ISNUMBER(b6ea66d78823!N45)+ISNUMBER('6d8dcb722ca4'!N45)+ISNUMBER('9306b30af184'!N45)+ISNUMBER('3b760aaeab13'!N45)+ISNUMBER(b2f4402deaee!N45)+ISNUMBER('1c4d314e87cd'!N45)+ISNUMBER(acd4708edfe6!N45)+ISNUMBER('9a32b1f50fb5'!N45)+ISNUMBER('2df562aa32e7'!N45)+ISNUMBER('3a5a3c04bd9d'!N45)+ISNUMBER('192241189337'!N45)+ISNUMBER('23a0423d7f40'!N45)+ISNUMBER('096252bb3796'!N45)+ISNUMBER(a53d1c7f9645!N45)+ISNUMBER('283d32631463'!N45)+ISNUMBER('1a542cfbf2c5'!N45)+ISNUMBER(cf262786a0e1!N45)+ISNUMBER('4b9efdeaeb40'!N45)+ISNUMBER('66fab14edc4c'!N45)+ISNUMBER(d9a84a7879b5!N45)+ISNUMBER(caf2b28627a3!N45)+ISNUMBER('602e9d1875d1'!N45)+ISNUMBER(f168037f7f37!N45)+ISNUMBER(eb071de1ab08!N45)+ISNUMBER('7b3bd85715a4'!N45)+ISNUMBER(e2a9b537c609!N45)+ISNUMBER(f97457958ce9!N45)+ISNUMBER('281fcc7d7eae'!N45)+ISNUMBER('01454b1cfeba'!N45)+ISNUMBER('79287892b1d7'!N45)+ISNUMBER('1b3f96535b56'!N45),ISNUMBER('1ae03038ed69'!N45)+ISNUMBER('1572eb063e5c'!N45)+ISNUMBER(b6ea66d78823!N45)+ISNUMBER('6d8dcb722ca4'!N45)+ISNUMBER('9306b30af184'!N45)+ISNUMBER('3b760aaeab13'!N45)+ISNUMBER(b2f4402deaee!N45)+ISNUMBER('1c4d314e87cd'!N45)+ISNUMBER(acd4708edfe6!N45)+ISNUMBER('9a32b1f50fb5'!N45)+ISNUMBER('2df562aa32e7'!N45)+ISNUMBER('3a5a3c04bd9d'!N45)+ISNUMBER('192241189337'!N45)+ISNUMBER('23a0423d7f40'!N45)+ISNUMBER('096252bb3796'!N45)+ISNUMBER(a53d1c7f9645!N45)+ISNUMBER('283d32631463'!N45)+ISNUMBER('1a542cfbf2c5'!N45)+ISNUMBER(cf262786a0e1!N45)+ISNUMBER('4b9efdeaeb40'!N45)+ISNUMBER('66fab14edc4c'!N45)+ISNUMBER(d9a84a7879b5!N45)+ISNUMBER(caf2b28627a3!N45)+ISNUMBER('602e9d1875d1'!N45)+ISNUMBER(f168037f7f37!N45)+ISNUMBER(eb071de1ab08!N45)+ISNUMBER('7b3bd85715a4'!N45)+ISNUMBER(e2a9b537c609!N45)+ISNUMBER(f97457958ce9!N45)+ISNUMBER('281fcc7d7eae'!N45)+ISNUMBER('01454b1cfeba'!N45)+ISNUMBER('79287892b1d7'!N45)+ISNUMBER('1b3f96535b56'!N45),"")</f>
        <v>1</v>
      </c>
      <c r="U32" t="s">
        <v>70</v>
      </c>
      <c r="V32" t="s">
        <v>35</v>
      </c>
    </row>
    <row r="33" spans="6:22" ht="15.75" customHeight="1">
      <c r="F33" s="16" t="str">
        <f>F17</f>
        <v>Living and working enviro…</v>
      </c>
      <c r="G33" s="17">
        <f>IF(ISNUMBER('1ae03038ed69'!C46)+ISNUMBER('1572eb063e5c'!C46)+ISNUMBER(b6ea66d78823!C46)+ISNUMBER('6d8dcb722ca4'!C46)+ISNUMBER('9306b30af184'!C46)+ISNUMBER('3b760aaeab13'!C46)+ISNUMBER(b2f4402deaee!C46)+ISNUMBER('1c4d314e87cd'!C46)+ISNUMBER(acd4708edfe6!C46)+ISNUMBER('9a32b1f50fb5'!C46)+ISNUMBER('2df562aa32e7'!C46)+ISNUMBER('3a5a3c04bd9d'!C46)+ISNUMBER('192241189337'!C46)+ISNUMBER('23a0423d7f40'!C46)+ISNUMBER('096252bb3796'!C46)+ISNUMBER(a53d1c7f9645!C46)+ISNUMBER('283d32631463'!C46)+ISNUMBER('1a542cfbf2c5'!C46)+ISNUMBER(cf262786a0e1!C46)+ISNUMBER('4b9efdeaeb40'!C46)+ISNUMBER('66fab14edc4c'!C46)+ISNUMBER(d9a84a7879b5!C46)+ISNUMBER(caf2b28627a3!C46)+ISNUMBER('602e9d1875d1'!C46)+ISNUMBER(f168037f7f37!C46)+ISNUMBER(eb071de1ab08!C46)+ISNUMBER('7b3bd85715a4'!C46)+ISNUMBER(e2a9b537c609!C46)+ISNUMBER(f97457958ce9!C46)+ISNUMBER('281fcc7d7eae'!C46)+ISNUMBER('01454b1cfeba'!C46)+ISNUMBER('79287892b1d7'!C46)+ISNUMBER('1b3f96535b56'!C46),ISNUMBER('1ae03038ed69'!C46)+ISNUMBER('1572eb063e5c'!C46)+ISNUMBER(b6ea66d78823!C46)+ISNUMBER('6d8dcb722ca4'!C46)+ISNUMBER('9306b30af184'!C46)+ISNUMBER('3b760aaeab13'!C46)+ISNUMBER(b2f4402deaee!C46)+ISNUMBER('1c4d314e87cd'!C46)+ISNUMBER(acd4708edfe6!C46)+ISNUMBER('9a32b1f50fb5'!C46)+ISNUMBER('2df562aa32e7'!C46)+ISNUMBER('3a5a3c04bd9d'!C46)+ISNUMBER('192241189337'!C46)+ISNUMBER('23a0423d7f40'!C46)+ISNUMBER('096252bb3796'!C46)+ISNUMBER(a53d1c7f9645!C46)+ISNUMBER('283d32631463'!C46)+ISNUMBER('1a542cfbf2c5'!C46)+ISNUMBER(cf262786a0e1!C46)+ISNUMBER('4b9efdeaeb40'!C46)+ISNUMBER('66fab14edc4c'!C46)+ISNUMBER(d9a84a7879b5!C46)+ISNUMBER(caf2b28627a3!C46)+ISNUMBER('602e9d1875d1'!C46)+ISNUMBER(f168037f7f37!C46)+ISNUMBER(eb071de1ab08!C46)+ISNUMBER('7b3bd85715a4'!C46)+ISNUMBER(e2a9b537c609!C46)+ISNUMBER(f97457958ce9!C46)+ISNUMBER('281fcc7d7eae'!C46)+ISNUMBER('01454b1cfeba'!C46)+ISNUMBER('79287892b1d7'!C46)+ISNUMBER('1b3f96535b56'!C46),"")</f>
        <v>2</v>
      </c>
      <c r="H33" s="17">
        <f>IF(ISNUMBER('1ae03038ed69'!D46)+ISNUMBER('1572eb063e5c'!D46)+ISNUMBER(b6ea66d78823!D46)+ISNUMBER('6d8dcb722ca4'!D46)+ISNUMBER('9306b30af184'!D46)+ISNUMBER('3b760aaeab13'!D46)+ISNUMBER(b2f4402deaee!D46)+ISNUMBER('1c4d314e87cd'!D46)+ISNUMBER(acd4708edfe6!D46)+ISNUMBER('9a32b1f50fb5'!D46)+ISNUMBER('2df562aa32e7'!D46)+ISNUMBER('3a5a3c04bd9d'!D46)+ISNUMBER('192241189337'!D46)+ISNUMBER('23a0423d7f40'!D46)+ISNUMBER('096252bb3796'!D46)+ISNUMBER(a53d1c7f9645!D46)+ISNUMBER('283d32631463'!D46)+ISNUMBER('1a542cfbf2c5'!D46)+ISNUMBER(cf262786a0e1!D46)+ISNUMBER('4b9efdeaeb40'!D46)+ISNUMBER('66fab14edc4c'!D46)+ISNUMBER(d9a84a7879b5!D46)+ISNUMBER(caf2b28627a3!D46)+ISNUMBER('602e9d1875d1'!D46)+ISNUMBER(f168037f7f37!D46)+ISNUMBER(eb071de1ab08!D46)+ISNUMBER('7b3bd85715a4'!D46)+ISNUMBER(e2a9b537c609!D46)+ISNUMBER(f97457958ce9!D46)+ISNUMBER('281fcc7d7eae'!D46)+ISNUMBER('01454b1cfeba'!D46)+ISNUMBER('79287892b1d7'!D46)+ISNUMBER('1b3f96535b56'!D46),ISNUMBER('1ae03038ed69'!D46)+ISNUMBER('1572eb063e5c'!D46)+ISNUMBER(b6ea66d78823!D46)+ISNUMBER('6d8dcb722ca4'!D46)+ISNUMBER('9306b30af184'!D46)+ISNUMBER('3b760aaeab13'!D46)+ISNUMBER(b2f4402deaee!D46)+ISNUMBER('1c4d314e87cd'!D46)+ISNUMBER(acd4708edfe6!D46)+ISNUMBER('9a32b1f50fb5'!D46)+ISNUMBER('2df562aa32e7'!D46)+ISNUMBER('3a5a3c04bd9d'!D46)+ISNUMBER('192241189337'!D46)+ISNUMBER('23a0423d7f40'!D46)+ISNUMBER('096252bb3796'!D46)+ISNUMBER(a53d1c7f9645!D46)+ISNUMBER('283d32631463'!D46)+ISNUMBER('1a542cfbf2c5'!D46)+ISNUMBER(cf262786a0e1!D46)+ISNUMBER('4b9efdeaeb40'!D46)+ISNUMBER('66fab14edc4c'!D46)+ISNUMBER(d9a84a7879b5!D46)+ISNUMBER(caf2b28627a3!D46)+ISNUMBER('602e9d1875d1'!D46)+ISNUMBER(f168037f7f37!D46)+ISNUMBER(eb071de1ab08!D46)+ISNUMBER('7b3bd85715a4'!D46)+ISNUMBER(e2a9b537c609!D46)+ISNUMBER(f97457958ce9!D46)+ISNUMBER('281fcc7d7eae'!D46)+ISNUMBER('01454b1cfeba'!D46)+ISNUMBER('79287892b1d7'!D46)+ISNUMBER('1b3f96535b56'!D46),"")</f>
        <v>1</v>
      </c>
      <c r="I33" s="18" t="str">
        <f>IF(ISNUMBER('1ae03038ed69'!E46)+ISNUMBER('1572eb063e5c'!E46)+ISNUMBER(b6ea66d78823!E46)+ISNUMBER('6d8dcb722ca4'!E46)+ISNUMBER('9306b30af184'!E46)+ISNUMBER('3b760aaeab13'!E46)+ISNUMBER(b2f4402deaee!E46)+ISNUMBER('1c4d314e87cd'!E46)+ISNUMBER(acd4708edfe6!E46)+ISNUMBER('9a32b1f50fb5'!E46)+ISNUMBER('2df562aa32e7'!E46)+ISNUMBER('3a5a3c04bd9d'!E46)+ISNUMBER('192241189337'!E46)+ISNUMBER('23a0423d7f40'!E46)+ISNUMBER('096252bb3796'!E46)+ISNUMBER(a53d1c7f9645!E46)+ISNUMBER('283d32631463'!E46)+ISNUMBER('1a542cfbf2c5'!E46)+ISNUMBER(cf262786a0e1!E46)+ISNUMBER('4b9efdeaeb40'!E46)+ISNUMBER('66fab14edc4c'!E46)+ISNUMBER(d9a84a7879b5!E46)+ISNUMBER(caf2b28627a3!E46)+ISNUMBER('602e9d1875d1'!E46)+ISNUMBER(f168037f7f37!E46)+ISNUMBER(eb071de1ab08!E46)+ISNUMBER('7b3bd85715a4'!E46)+ISNUMBER(e2a9b537c609!E46)+ISNUMBER(f97457958ce9!E46)+ISNUMBER('281fcc7d7eae'!E46)+ISNUMBER('01454b1cfeba'!E46)+ISNUMBER('79287892b1d7'!E46)+ISNUMBER('1b3f96535b56'!E46),ISNUMBER('1ae03038ed69'!E46)+ISNUMBER('1572eb063e5c'!E46)+ISNUMBER(b6ea66d78823!E46)+ISNUMBER('6d8dcb722ca4'!E46)+ISNUMBER('9306b30af184'!E46)+ISNUMBER('3b760aaeab13'!E46)+ISNUMBER(b2f4402deaee!E46)+ISNUMBER('1c4d314e87cd'!E46)+ISNUMBER(acd4708edfe6!E46)+ISNUMBER('9a32b1f50fb5'!E46)+ISNUMBER('2df562aa32e7'!E46)+ISNUMBER('3a5a3c04bd9d'!E46)+ISNUMBER('192241189337'!E46)+ISNUMBER('23a0423d7f40'!E46)+ISNUMBER('096252bb3796'!E46)+ISNUMBER(a53d1c7f9645!E46)+ISNUMBER('283d32631463'!E46)+ISNUMBER('1a542cfbf2c5'!E46)+ISNUMBER(cf262786a0e1!E46)+ISNUMBER('4b9efdeaeb40'!E46)+ISNUMBER('66fab14edc4c'!E46)+ISNUMBER(d9a84a7879b5!E46)+ISNUMBER(caf2b28627a3!E46)+ISNUMBER('602e9d1875d1'!E46)+ISNUMBER(f168037f7f37!E46)+ISNUMBER(eb071de1ab08!E46)+ISNUMBER('7b3bd85715a4'!E46)+ISNUMBER(e2a9b537c609!E46)+ISNUMBER(f97457958ce9!E46)+ISNUMBER('281fcc7d7eae'!E46)+ISNUMBER('01454b1cfeba'!E46)+ISNUMBER('79287892b1d7'!E46)+ISNUMBER('1b3f96535b56'!E46),"")</f>
        <v/>
      </c>
      <c r="J33" s="18" t="str">
        <f>IF(ISNUMBER('1ae03038ed69'!F46)+ISNUMBER('1572eb063e5c'!F46)+ISNUMBER(b6ea66d78823!F46)+ISNUMBER('6d8dcb722ca4'!F46)+ISNUMBER('9306b30af184'!F46)+ISNUMBER('3b760aaeab13'!F46)+ISNUMBER(b2f4402deaee!F46)+ISNUMBER('1c4d314e87cd'!F46)+ISNUMBER(acd4708edfe6!F46)+ISNUMBER('9a32b1f50fb5'!F46)+ISNUMBER('2df562aa32e7'!F46)+ISNUMBER('3a5a3c04bd9d'!F46)+ISNUMBER('192241189337'!F46)+ISNUMBER('23a0423d7f40'!F46)+ISNUMBER('096252bb3796'!F46)+ISNUMBER(a53d1c7f9645!F46)+ISNUMBER('283d32631463'!F46)+ISNUMBER('1a542cfbf2c5'!F46)+ISNUMBER(cf262786a0e1!F46)+ISNUMBER('4b9efdeaeb40'!F46)+ISNUMBER('66fab14edc4c'!F46)+ISNUMBER(d9a84a7879b5!F46)+ISNUMBER(caf2b28627a3!F46)+ISNUMBER('602e9d1875d1'!F46)+ISNUMBER(f168037f7f37!F46)+ISNUMBER(eb071de1ab08!F46)+ISNUMBER('7b3bd85715a4'!F46)+ISNUMBER(e2a9b537c609!F46)+ISNUMBER(f97457958ce9!F46)+ISNUMBER('281fcc7d7eae'!F46)+ISNUMBER('01454b1cfeba'!F46)+ISNUMBER('79287892b1d7'!F46)+ISNUMBER('1b3f96535b56'!F46),ISNUMBER('1ae03038ed69'!F46)+ISNUMBER('1572eb063e5c'!F46)+ISNUMBER(b6ea66d78823!F46)+ISNUMBER('6d8dcb722ca4'!F46)+ISNUMBER('9306b30af184'!F46)+ISNUMBER('3b760aaeab13'!F46)+ISNUMBER(b2f4402deaee!F46)+ISNUMBER('1c4d314e87cd'!F46)+ISNUMBER(acd4708edfe6!F46)+ISNUMBER('9a32b1f50fb5'!F46)+ISNUMBER('2df562aa32e7'!F46)+ISNUMBER('3a5a3c04bd9d'!F46)+ISNUMBER('192241189337'!F46)+ISNUMBER('23a0423d7f40'!F46)+ISNUMBER('096252bb3796'!F46)+ISNUMBER(a53d1c7f9645!F46)+ISNUMBER('283d32631463'!F46)+ISNUMBER('1a542cfbf2c5'!F46)+ISNUMBER(cf262786a0e1!F46)+ISNUMBER('4b9efdeaeb40'!F46)+ISNUMBER('66fab14edc4c'!F46)+ISNUMBER(d9a84a7879b5!F46)+ISNUMBER(caf2b28627a3!F46)+ISNUMBER('602e9d1875d1'!F46)+ISNUMBER(f168037f7f37!F46)+ISNUMBER(eb071de1ab08!F46)+ISNUMBER('7b3bd85715a4'!F46)+ISNUMBER(e2a9b537c609!F46)+ISNUMBER(f97457958ce9!F46)+ISNUMBER('281fcc7d7eae'!F46)+ISNUMBER('01454b1cfeba'!F46)+ISNUMBER('79287892b1d7'!F46)+ISNUMBER('1b3f96535b56'!F46),"")</f>
        <v/>
      </c>
      <c r="K33" s="17" t="str">
        <f>IF(ISNUMBER('1ae03038ed69'!G46)+ISNUMBER('1572eb063e5c'!G46)+ISNUMBER(b6ea66d78823!G46)+ISNUMBER('6d8dcb722ca4'!G46)+ISNUMBER('9306b30af184'!G46)+ISNUMBER('3b760aaeab13'!G46)+ISNUMBER(b2f4402deaee!G46)+ISNUMBER('1c4d314e87cd'!G46)+ISNUMBER(acd4708edfe6!G46)+ISNUMBER('9a32b1f50fb5'!G46)+ISNUMBER('2df562aa32e7'!G46)+ISNUMBER('3a5a3c04bd9d'!G46)+ISNUMBER('192241189337'!G46)+ISNUMBER('23a0423d7f40'!G46)+ISNUMBER('096252bb3796'!G46)+ISNUMBER(a53d1c7f9645!G46)+ISNUMBER('283d32631463'!G46)+ISNUMBER('1a542cfbf2c5'!G46)+ISNUMBER(cf262786a0e1!G46)+ISNUMBER('4b9efdeaeb40'!G46)+ISNUMBER('66fab14edc4c'!G46)+ISNUMBER(d9a84a7879b5!G46)+ISNUMBER(caf2b28627a3!G46)+ISNUMBER('602e9d1875d1'!G46)+ISNUMBER(f168037f7f37!G46)+ISNUMBER(eb071de1ab08!G46)+ISNUMBER('7b3bd85715a4'!G46)+ISNUMBER(e2a9b537c609!G46)+ISNUMBER(f97457958ce9!G46)+ISNUMBER('281fcc7d7eae'!G46)+ISNUMBER('01454b1cfeba'!G46)+ISNUMBER('79287892b1d7'!G46)+ISNUMBER('1b3f96535b56'!G46),ISNUMBER('1ae03038ed69'!G46)+ISNUMBER('1572eb063e5c'!G46)+ISNUMBER(b6ea66d78823!G46)+ISNUMBER('6d8dcb722ca4'!G46)+ISNUMBER('9306b30af184'!G46)+ISNUMBER('3b760aaeab13'!G46)+ISNUMBER(b2f4402deaee!G46)+ISNUMBER('1c4d314e87cd'!G46)+ISNUMBER(acd4708edfe6!G46)+ISNUMBER('9a32b1f50fb5'!G46)+ISNUMBER('2df562aa32e7'!G46)+ISNUMBER('3a5a3c04bd9d'!G46)+ISNUMBER('192241189337'!G46)+ISNUMBER('23a0423d7f40'!G46)+ISNUMBER('096252bb3796'!G46)+ISNUMBER(a53d1c7f9645!G46)+ISNUMBER('283d32631463'!G46)+ISNUMBER('1a542cfbf2c5'!G46)+ISNUMBER(cf262786a0e1!G46)+ISNUMBER('4b9efdeaeb40'!G46)+ISNUMBER('66fab14edc4c'!G46)+ISNUMBER(d9a84a7879b5!G46)+ISNUMBER(caf2b28627a3!G46)+ISNUMBER('602e9d1875d1'!G46)+ISNUMBER(f168037f7f37!G46)+ISNUMBER(eb071de1ab08!G46)+ISNUMBER('7b3bd85715a4'!G46)+ISNUMBER(e2a9b537c609!G46)+ISNUMBER(f97457958ce9!G46)+ISNUMBER('281fcc7d7eae'!G46)+ISNUMBER('01454b1cfeba'!G46)+ISNUMBER('79287892b1d7'!G46)+ISNUMBER('1b3f96535b56'!G46),"")</f>
        <v/>
      </c>
      <c r="L33" s="17" t="str">
        <f>IF(ISNUMBER('1ae03038ed69'!H46)+ISNUMBER('1572eb063e5c'!H46)+ISNUMBER(b6ea66d78823!H46)+ISNUMBER('6d8dcb722ca4'!H46)+ISNUMBER('9306b30af184'!H46)+ISNUMBER('3b760aaeab13'!H46)+ISNUMBER(b2f4402deaee!H46)+ISNUMBER('1c4d314e87cd'!H46)+ISNUMBER(acd4708edfe6!H46)+ISNUMBER('9a32b1f50fb5'!H46)+ISNUMBER('2df562aa32e7'!H46)+ISNUMBER('3a5a3c04bd9d'!H46)+ISNUMBER('192241189337'!H46)+ISNUMBER('23a0423d7f40'!H46)+ISNUMBER('096252bb3796'!H46)+ISNUMBER(a53d1c7f9645!H46)+ISNUMBER('283d32631463'!H46)+ISNUMBER('1a542cfbf2c5'!H46)+ISNUMBER(cf262786a0e1!H46)+ISNUMBER('4b9efdeaeb40'!H46)+ISNUMBER('66fab14edc4c'!H46)+ISNUMBER(d9a84a7879b5!H46)+ISNUMBER(caf2b28627a3!H46)+ISNUMBER('602e9d1875d1'!H46)+ISNUMBER(f168037f7f37!H46)+ISNUMBER(eb071de1ab08!H46)+ISNUMBER('7b3bd85715a4'!H46)+ISNUMBER(e2a9b537c609!H46)+ISNUMBER(f97457958ce9!H46)+ISNUMBER('281fcc7d7eae'!H46)+ISNUMBER('01454b1cfeba'!H46)+ISNUMBER('79287892b1d7'!H46)+ISNUMBER('1b3f96535b56'!H46),ISNUMBER('1ae03038ed69'!H46)+ISNUMBER('1572eb063e5c'!H46)+ISNUMBER(b6ea66d78823!H46)+ISNUMBER('6d8dcb722ca4'!H46)+ISNUMBER('9306b30af184'!H46)+ISNUMBER('3b760aaeab13'!H46)+ISNUMBER(b2f4402deaee!H46)+ISNUMBER('1c4d314e87cd'!H46)+ISNUMBER(acd4708edfe6!H46)+ISNUMBER('9a32b1f50fb5'!H46)+ISNUMBER('2df562aa32e7'!H46)+ISNUMBER('3a5a3c04bd9d'!H46)+ISNUMBER('192241189337'!H46)+ISNUMBER('23a0423d7f40'!H46)+ISNUMBER('096252bb3796'!H46)+ISNUMBER(a53d1c7f9645!H46)+ISNUMBER('283d32631463'!H46)+ISNUMBER('1a542cfbf2c5'!H46)+ISNUMBER(cf262786a0e1!H46)+ISNUMBER('4b9efdeaeb40'!H46)+ISNUMBER('66fab14edc4c'!H46)+ISNUMBER(d9a84a7879b5!H46)+ISNUMBER(caf2b28627a3!H46)+ISNUMBER('602e9d1875d1'!H46)+ISNUMBER(f168037f7f37!H46)+ISNUMBER(eb071de1ab08!H46)+ISNUMBER('7b3bd85715a4'!H46)+ISNUMBER(e2a9b537c609!H46)+ISNUMBER(f97457958ce9!H46)+ISNUMBER('281fcc7d7eae'!H46)+ISNUMBER('01454b1cfeba'!H46)+ISNUMBER('79287892b1d7'!H46)+ISNUMBER('1b3f96535b56'!H46),"")</f>
        <v/>
      </c>
      <c r="M33" s="18">
        <f>IF(ISNUMBER('1ae03038ed69'!I46)+ISNUMBER('1572eb063e5c'!I46)+ISNUMBER(b6ea66d78823!I46)+ISNUMBER('6d8dcb722ca4'!I46)+ISNUMBER('9306b30af184'!I46)+ISNUMBER('3b760aaeab13'!I46)+ISNUMBER(b2f4402deaee!I46)+ISNUMBER('1c4d314e87cd'!I46)+ISNUMBER(acd4708edfe6!I46)+ISNUMBER('9a32b1f50fb5'!I46)+ISNUMBER('2df562aa32e7'!I46)+ISNUMBER('3a5a3c04bd9d'!I46)+ISNUMBER('192241189337'!I46)+ISNUMBER('23a0423d7f40'!I46)+ISNUMBER('096252bb3796'!I46)+ISNUMBER(a53d1c7f9645!I46)+ISNUMBER('283d32631463'!I46)+ISNUMBER('1a542cfbf2c5'!I46)+ISNUMBER(cf262786a0e1!I46)+ISNUMBER('4b9efdeaeb40'!I46)+ISNUMBER('66fab14edc4c'!I46)+ISNUMBER(d9a84a7879b5!I46)+ISNUMBER(caf2b28627a3!I46)+ISNUMBER('602e9d1875d1'!I46)+ISNUMBER(f168037f7f37!I46)+ISNUMBER(eb071de1ab08!I46)+ISNUMBER('7b3bd85715a4'!I46)+ISNUMBER(e2a9b537c609!I46)+ISNUMBER(f97457958ce9!I46)+ISNUMBER('281fcc7d7eae'!I46)+ISNUMBER('01454b1cfeba'!I46)+ISNUMBER('79287892b1d7'!I46)+ISNUMBER('1b3f96535b56'!I46),ISNUMBER('1ae03038ed69'!I46)+ISNUMBER('1572eb063e5c'!I46)+ISNUMBER(b6ea66d78823!I46)+ISNUMBER('6d8dcb722ca4'!I46)+ISNUMBER('9306b30af184'!I46)+ISNUMBER('3b760aaeab13'!I46)+ISNUMBER(b2f4402deaee!I46)+ISNUMBER('1c4d314e87cd'!I46)+ISNUMBER(acd4708edfe6!I46)+ISNUMBER('9a32b1f50fb5'!I46)+ISNUMBER('2df562aa32e7'!I46)+ISNUMBER('3a5a3c04bd9d'!I46)+ISNUMBER('192241189337'!I46)+ISNUMBER('23a0423d7f40'!I46)+ISNUMBER('096252bb3796'!I46)+ISNUMBER(a53d1c7f9645!I46)+ISNUMBER('283d32631463'!I46)+ISNUMBER('1a542cfbf2c5'!I46)+ISNUMBER(cf262786a0e1!I46)+ISNUMBER('4b9efdeaeb40'!I46)+ISNUMBER('66fab14edc4c'!I46)+ISNUMBER(d9a84a7879b5!I46)+ISNUMBER(caf2b28627a3!I46)+ISNUMBER('602e9d1875d1'!I46)+ISNUMBER(f168037f7f37!I46)+ISNUMBER(eb071de1ab08!I46)+ISNUMBER('7b3bd85715a4'!I46)+ISNUMBER(e2a9b537c609!I46)+ISNUMBER(f97457958ce9!I46)+ISNUMBER('281fcc7d7eae'!I46)+ISNUMBER('01454b1cfeba'!I46)+ISNUMBER('79287892b1d7'!I46)+ISNUMBER('1b3f96535b56'!I46),"")</f>
        <v>8</v>
      </c>
      <c r="N33" s="18">
        <f>IF(ISNUMBER('1ae03038ed69'!J46)+ISNUMBER('1572eb063e5c'!J46)+ISNUMBER(b6ea66d78823!J46)+ISNUMBER('6d8dcb722ca4'!J46)+ISNUMBER('9306b30af184'!J46)+ISNUMBER('3b760aaeab13'!J46)+ISNUMBER(b2f4402deaee!J46)+ISNUMBER('1c4d314e87cd'!J46)+ISNUMBER(acd4708edfe6!J46)+ISNUMBER('9a32b1f50fb5'!J46)+ISNUMBER('2df562aa32e7'!J46)+ISNUMBER('3a5a3c04bd9d'!J46)+ISNUMBER('192241189337'!J46)+ISNUMBER('23a0423d7f40'!J46)+ISNUMBER('096252bb3796'!J46)+ISNUMBER(a53d1c7f9645!J46)+ISNUMBER('283d32631463'!J46)+ISNUMBER('1a542cfbf2c5'!J46)+ISNUMBER(cf262786a0e1!J46)+ISNUMBER('4b9efdeaeb40'!J46)+ISNUMBER('66fab14edc4c'!J46)+ISNUMBER(d9a84a7879b5!J46)+ISNUMBER(caf2b28627a3!J46)+ISNUMBER('602e9d1875d1'!J46)+ISNUMBER(f168037f7f37!J46)+ISNUMBER(eb071de1ab08!J46)+ISNUMBER('7b3bd85715a4'!J46)+ISNUMBER(e2a9b537c609!J46)+ISNUMBER(f97457958ce9!J46)+ISNUMBER('281fcc7d7eae'!J46)+ISNUMBER('01454b1cfeba'!J46)+ISNUMBER('79287892b1d7'!J46)+ISNUMBER('1b3f96535b56'!J46),ISNUMBER('1ae03038ed69'!J46)+ISNUMBER('1572eb063e5c'!J46)+ISNUMBER(b6ea66d78823!J46)+ISNUMBER('6d8dcb722ca4'!J46)+ISNUMBER('9306b30af184'!J46)+ISNUMBER('3b760aaeab13'!J46)+ISNUMBER(b2f4402deaee!J46)+ISNUMBER('1c4d314e87cd'!J46)+ISNUMBER(acd4708edfe6!J46)+ISNUMBER('9a32b1f50fb5'!J46)+ISNUMBER('2df562aa32e7'!J46)+ISNUMBER('3a5a3c04bd9d'!J46)+ISNUMBER('192241189337'!J46)+ISNUMBER('23a0423d7f40'!J46)+ISNUMBER('096252bb3796'!J46)+ISNUMBER(a53d1c7f9645!J46)+ISNUMBER('283d32631463'!J46)+ISNUMBER('1a542cfbf2c5'!J46)+ISNUMBER(cf262786a0e1!J46)+ISNUMBER('4b9efdeaeb40'!J46)+ISNUMBER('66fab14edc4c'!J46)+ISNUMBER(d9a84a7879b5!J46)+ISNUMBER(caf2b28627a3!J46)+ISNUMBER('602e9d1875d1'!J46)+ISNUMBER(f168037f7f37!J46)+ISNUMBER(eb071de1ab08!J46)+ISNUMBER('7b3bd85715a4'!J46)+ISNUMBER(e2a9b537c609!J46)+ISNUMBER(f97457958ce9!J46)+ISNUMBER('281fcc7d7eae'!J46)+ISNUMBER('01454b1cfeba'!J46)+ISNUMBER('79287892b1d7'!J46)+ISNUMBER('1b3f96535b56'!J46),"")</f>
        <v>1</v>
      </c>
      <c r="O33" s="17">
        <f>IF(ISNUMBER('1ae03038ed69'!K46)+ISNUMBER('1572eb063e5c'!K46)+ISNUMBER(b6ea66d78823!K46)+ISNUMBER('6d8dcb722ca4'!K46)+ISNUMBER('9306b30af184'!K46)+ISNUMBER('3b760aaeab13'!K46)+ISNUMBER(b2f4402deaee!K46)+ISNUMBER('1c4d314e87cd'!K46)+ISNUMBER(acd4708edfe6!K46)+ISNUMBER('9a32b1f50fb5'!K46)+ISNUMBER('2df562aa32e7'!K46)+ISNUMBER('3a5a3c04bd9d'!K46)+ISNUMBER('192241189337'!K46)+ISNUMBER('23a0423d7f40'!K46)+ISNUMBER('096252bb3796'!K46)+ISNUMBER(a53d1c7f9645!K46)+ISNUMBER('283d32631463'!K46)+ISNUMBER('1a542cfbf2c5'!K46)+ISNUMBER(cf262786a0e1!K46)+ISNUMBER('4b9efdeaeb40'!K46)+ISNUMBER('66fab14edc4c'!K46)+ISNUMBER(d9a84a7879b5!K46)+ISNUMBER(caf2b28627a3!K46)+ISNUMBER('602e9d1875d1'!K46)+ISNUMBER(f168037f7f37!K46)+ISNUMBER(eb071de1ab08!K46)+ISNUMBER('7b3bd85715a4'!K46)+ISNUMBER(e2a9b537c609!K46)+ISNUMBER(f97457958ce9!K46)+ISNUMBER('281fcc7d7eae'!K46)+ISNUMBER('01454b1cfeba'!K46)+ISNUMBER('79287892b1d7'!K46)+ISNUMBER('1b3f96535b56'!K46),ISNUMBER('1ae03038ed69'!K46)+ISNUMBER('1572eb063e5c'!K46)+ISNUMBER(b6ea66d78823!K46)+ISNUMBER('6d8dcb722ca4'!K46)+ISNUMBER('9306b30af184'!K46)+ISNUMBER('3b760aaeab13'!K46)+ISNUMBER(b2f4402deaee!K46)+ISNUMBER('1c4d314e87cd'!K46)+ISNUMBER(acd4708edfe6!K46)+ISNUMBER('9a32b1f50fb5'!K46)+ISNUMBER('2df562aa32e7'!K46)+ISNUMBER('3a5a3c04bd9d'!K46)+ISNUMBER('192241189337'!K46)+ISNUMBER('23a0423d7f40'!K46)+ISNUMBER('096252bb3796'!K46)+ISNUMBER(a53d1c7f9645!K46)+ISNUMBER('283d32631463'!K46)+ISNUMBER('1a542cfbf2c5'!K46)+ISNUMBER(cf262786a0e1!K46)+ISNUMBER('4b9efdeaeb40'!K46)+ISNUMBER('66fab14edc4c'!K46)+ISNUMBER(d9a84a7879b5!K46)+ISNUMBER(caf2b28627a3!K46)+ISNUMBER('602e9d1875d1'!K46)+ISNUMBER(f168037f7f37!K46)+ISNUMBER(eb071de1ab08!K46)+ISNUMBER('7b3bd85715a4'!K46)+ISNUMBER(e2a9b537c609!K46)+ISNUMBER(f97457958ce9!K46)+ISNUMBER('281fcc7d7eae'!K46)+ISNUMBER('01454b1cfeba'!K46)+ISNUMBER('79287892b1d7'!K46)+ISNUMBER('1b3f96535b56'!K46),"")</f>
        <v>2</v>
      </c>
      <c r="P33" s="17" t="str">
        <f>IF(ISNUMBER('1ae03038ed69'!L46)+ISNUMBER('1572eb063e5c'!L46)+ISNUMBER(b6ea66d78823!L46)+ISNUMBER('6d8dcb722ca4'!L46)+ISNUMBER('9306b30af184'!L46)+ISNUMBER('3b760aaeab13'!L46)+ISNUMBER(b2f4402deaee!L46)+ISNUMBER('1c4d314e87cd'!L46)+ISNUMBER(acd4708edfe6!L46)+ISNUMBER('9a32b1f50fb5'!L46)+ISNUMBER('2df562aa32e7'!L46)+ISNUMBER('3a5a3c04bd9d'!L46)+ISNUMBER('192241189337'!L46)+ISNUMBER('23a0423d7f40'!L46)+ISNUMBER('096252bb3796'!L46)+ISNUMBER(a53d1c7f9645!L46)+ISNUMBER('283d32631463'!L46)+ISNUMBER('1a542cfbf2c5'!L46)+ISNUMBER(cf262786a0e1!L46)+ISNUMBER('4b9efdeaeb40'!L46)+ISNUMBER('66fab14edc4c'!L46)+ISNUMBER(d9a84a7879b5!L46)+ISNUMBER(caf2b28627a3!L46)+ISNUMBER('602e9d1875d1'!L46)+ISNUMBER(f168037f7f37!L46)+ISNUMBER(eb071de1ab08!L46)+ISNUMBER('7b3bd85715a4'!L46)+ISNUMBER(e2a9b537c609!L46)+ISNUMBER(f97457958ce9!L46)+ISNUMBER('281fcc7d7eae'!L46)+ISNUMBER('01454b1cfeba'!L46)+ISNUMBER('79287892b1d7'!L46)+ISNUMBER('1b3f96535b56'!L46),ISNUMBER('1ae03038ed69'!L46)+ISNUMBER('1572eb063e5c'!L46)+ISNUMBER(b6ea66d78823!L46)+ISNUMBER('6d8dcb722ca4'!L46)+ISNUMBER('9306b30af184'!L46)+ISNUMBER('3b760aaeab13'!L46)+ISNUMBER(b2f4402deaee!L46)+ISNUMBER('1c4d314e87cd'!L46)+ISNUMBER(acd4708edfe6!L46)+ISNUMBER('9a32b1f50fb5'!L46)+ISNUMBER('2df562aa32e7'!L46)+ISNUMBER('3a5a3c04bd9d'!L46)+ISNUMBER('192241189337'!L46)+ISNUMBER('23a0423d7f40'!L46)+ISNUMBER('096252bb3796'!L46)+ISNUMBER(a53d1c7f9645!L46)+ISNUMBER('283d32631463'!L46)+ISNUMBER('1a542cfbf2c5'!L46)+ISNUMBER(cf262786a0e1!L46)+ISNUMBER('4b9efdeaeb40'!L46)+ISNUMBER('66fab14edc4c'!L46)+ISNUMBER(d9a84a7879b5!L46)+ISNUMBER(caf2b28627a3!L46)+ISNUMBER('602e9d1875d1'!L46)+ISNUMBER(f168037f7f37!L46)+ISNUMBER(eb071de1ab08!L46)+ISNUMBER('7b3bd85715a4'!L46)+ISNUMBER(e2a9b537c609!L46)+ISNUMBER(f97457958ce9!L46)+ISNUMBER('281fcc7d7eae'!L46)+ISNUMBER('01454b1cfeba'!L46)+ISNUMBER('79287892b1d7'!L46)+ISNUMBER('1b3f96535b56'!L46),"")</f>
        <v/>
      </c>
      <c r="Q33" s="18">
        <f>IF(ISNUMBER('1ae03038ed69'!M46)+ISNUMBER('1572eb063e5c'!M46)+ISNUMBER(b6ea66d78823!M46)+ISNUMBER('6d8dcb722ca4'!M46)+ISNUMBER('9306b30af184'!M46)+ISNUMBER('3b760aaeab13'!M46)+ISNUMBER(b2f4402deaee!M46)+ISNUMBER('1c4d314e87cd'!M46)+ISNUMBER(acd4708edfe6!M46)+ISNUMBER('9a32b1f50fb5'!M46)+ISNUMBER('2df562aa32e7'!M46)+ISNUMBER('3a5a3c04bd9d'!M46)+ISNUMBER('192241189337'!M46)+ISNUMBER('23a0423d7f40'!M46)+ISNUMBER('096252bb3796'!M46)+ISNUMBER(a53d1c7f9645!M46)+ISNUMBER('283d32631463'!M46)+ISNUMBER('1a542cfbf2c5'!M46)+ISNUMBER(cf262786a0e1!M46)+ISNUMBER('4b9efdeaeb40'!M46)+ISNUMBER('66fab14edc4c'!M46)+ISNUMBER(d9a84a7879b5!M46)+ISNUMBER(caf2b28627a3!M46)+ISNUMBER('602e9d1875d1'!M46)+ISNUMBER(f168037f7f37!M46)+ISNUMBER(eb071de1ab08!M46)+ISNUMBER('7b3bd85715a4'!M46)+ISNUMBER(e2a9b537c609!M46)+ISNUMBER(f97457958ce9!M46)+ISNUMBER('281fcc7d7eae'!M46)+ISNUMBER('01454b1cfeba'!M46)+ISNUMBER('79287892b1d7'!M46)+ISNUMBER('1b3f96535b56'!M46),ISNUMBER('1ae03038ed69'!M46)+ISNUMBER('1572eb063e5c'!M46)+ISNUMBER(b6ea66d78823!M46)+ISNUMBER('6d8dcb722ca4'!M46)+ISNUMBER('9306b30af184'!M46)+ISNUMBER('3b760aaeab13'!M46)+ISNUMBER(b2f4402deaee!M46)+ISNUMBER('1c4d314e87cd'!M46)+ISNUMBER(acd4708edfe6!M46)+ISNUMBER('9a32b1f50fb5'!M46)+ISNUMBER('2df562aa32e7'!M46)+ISNUMBER('3a5a3c04bd9d'!M46)+ISNUMBER('192241189337'!M46)+ISNUMBER('23a0423d7f40'!M46)+ISNUMBER('096252bb3796'!M46)+ISNUMBER(a53d1c7f9645!M46)+ISNUMBER('283d32631463'!M46)+ISNUMBER('1a542cfbf2c5'!M46)+ISNUMBER(cf262786a0e1!M46)+ISNUMBER('4b9efdeaeb40'!M46)+ISNUMBER('66fab14edc4c'!M46)+ISNUMBER(d9a84a7879b5!M46)+ISNUMBER(caf2b28627a3!M46)+ISNUMBER('602e9d1875d1'!M46)+ISNUMBER(f168037f7f37!M46)+ISNUMBER(eb071de1ab08!M46)+ISNUMBER('7b3bd85715a4'!M46)+ISNUMBER(e2a9b537c609!M46)+ISNUMBER(f97457958ce9!M46)+ISNUMBER('281fcc7d7eae'!M46)+ISNUMBER('01454b1cfeba'!M46)+ISNUMBER('79287892b1d7'!M46)+ISNUMBER('1b3f96535b56'!M46),"")</f>
        <v>3</v>
      </c>
      <c r="R33" s="18">
        <f>IF(ISNUMBER('1ae03038ed69'!N46)+ISNUMBER('1572eb063e5c'!N46)+ISNUMBER(b6ea66d78823!N46)+ISNUMBER('6d8dcb722ca4'!N46)+ISNUMBER('9306b30af184'!N46)+ISNUMBER('3b760aaeab13'!N46)+ISNUMBER(b2f4402deaee!N46)+ISNUMBER('1c4d314e87cd'!N46)+ISNUMBER(acd4708edfe6!N46)+ISNUMBER('9a32b1f50fb5'!N46)+ISNUMBER('2df562aa32e7'!N46)+ISNUMBER('3a5a3c04bd9d'!N46)+ISNUMBER('192241189337'!N46)+ISNUMBER('23a0423d7f40'!N46)+ISNUMBER('096252bb3796'!N46)+ISNUMBER(a53d1c7f9645!N46)+ISNUMBER('283d32631463'!N46)+ISNUMBER('1a542cfbf2c5'!N46)+ISNUMBER(cf262786a0e1!N46)+ISNUMBER('4b9efdeaeb40'!N46)+ISNUMBER('66fab14edc4c'!N46)+ISNUMBER(d9a84a7879b5!N46)+ISNUMBER(caf2b28627a3!N46)+ISNUMBER('602e9d1875d1'!N46)+ISNUMBER(f168037f7f37!N46)+ISNUMBER(eb071de1ab08!N46)+ISNUMBER('7b3bd85715a4'!N46)+ISNUMBER(e2a9b537c609!N46)+ISNUMBER(f97457958ce9!N46)+ISNUMBER('281fcc7d7eae'!N46)+ISNUMBER('01454b1cfeba'!N46)+ISNUMBER('79287892b1d7'!N46)+ISNUMBER('1b3f96535b56'!N46),ISNUMBER('1ae03038ed69'!N46)+ISNUMBER('1572eb063e5c'!N46)+ISNUMBER(b6ea66d78823!N46)+ISNUMBER('6d8dcb722ca4'!N46)+ISNUMBER('9306b30af184'!N46)+ISNUMBER('3b760aaeab13'!N46)+ISNUMBER(b2f4402deaee!N46)+ISNUMBER('1c4d314e87cd'!N46)+ISNUMBER(acd4708edfe6!N46)+ISNUMBER('9a32b1f50fb5'!N46)+ISNUMBER('2df562aa32e7'!N46)+ISNUMBER('3a5a3c04bd9d'!N46)+ISNUMBER('192241189337'!N46)+ISNUMBER('23a0423d7f40'!N46)+ISNUMBER('096252bb3796'!N46)+ISNUMBER(a53d1c7f9645!N46)+ISNUMBER('283d32631463'!N46)+ISNUMBER('1a542cfbf2c5'!N46)+ISNUMBER(cf262786a0e1!N46)+ISNUMBER('4b9efdeaeb40'!N46)+ISNUMBER('66fab14edc4c'!N46)+ISNUMBER(d9a84a7879b5!N46)+ISNUMBER(caf2b28627a3!N46)+ISNUMBER('602e9d1875d1'!N46)+ISNUMBER(f168037f7f37!N46)+ISNUMBER(eb071de1ab08!N46)+ISNUMBER('7b3bd85715a4'!N46)+ISNUMBER(e2a9b537c609!N46)+ISNUMBER(f97457958ce9!N46)+ISNUMBER('281fcc7d7eae'!N46)+ISNUMBER('01454b1cfeba'!N46)+ISNUMBER('79287892b1d7'!N46)+ISNUMBER('1b3f96535b56'!N46),"")</f>
        <v>1</v>
      </c>
      <c r="U33" t="s">
        <v>71</v>
      </c>
      <c r="V33" t="s">
        <v>72</v>
      </c>
    </row>
    <row r="34" spans="6:22" ht="15.75" customHeight="1">
      <c r="F34" s="16" t="str">
        <f>F18</f>
        <v>Safety and security…</v>
      </c>
      <c r="G34" s="17" t="str">
        <f>IF(ISNUMBER('1ae03038ed69'!C47)+ISNUMBER('1572eb063e5c'!C47)+ISNUMBER(b6ea66d78823!C47)+ISNUMBER('6d8dcb722ca4'!C47)+ISNUMBER('9306b30af184'!C47)+ISNUMBER('3b760aaeab13'!C47)+ISNUMBER(b2f4402deaee!C47)+ISNUMBER('1c4d314e87cd'!C47)+ISNUMBER(acd4708edfe6!C47)+ISNUMBER('9a32b1f50fb5'!C47)+ISNUMBER('2df562aa32e7'!C47)+ISNUMBER('3a5a3c04bd9d'!C47)+ISNUMBER('192241189337'!C47)+ISNUMBER('23a0423d7f40'!C47)+ISNUMBER('096252bb3796'!C47)+ISNUMBER(a53d1c7f9645!C47)+ISNUMBER('283d32631463'!C47)+ISNUMBER('1a542cfbf2c5'!C47)+ISNUMBER(cf262786a0e1!C47)+ISNUMBER('4b9efdeaeb40'!C47)+ISNUMBER('66fab14edc4c'!C47)+ISNUMBER(d9a84a7879b5!C47)+ISNUMBER(caf2b28627a3!C47)+ISNUMBER('602e9d1875d1'!C47)+ISNUMBER(f168037f7f37!C47)+ISNUMBER(eb071de1ab08!C47)+ISNUMBER('7b3bd85715a4'!C47)+ISNUMBER(e2a9b537c609!C47)+ISNUMBER(f97457958ce9!C47)+ISNUMBER('281fcc7d7eae'!C47)+ISNUMBER('01454b1cfeba'!C47)+ISNUMBER('79287892b1d7'!C47)+ISNUMBER('1b3f96535b56'!C47),ISNUMBER('1ae03038ed69'!C47)+ISNUMBER('1572eb063e5c'!C47)+ISNUMBER(b6ea66d78823!C47)+ISNUMBER('6d8dcb722ca4'!C47)+ISNUMBER('9306b30af184'!C47)+ISNUMBER('3b760aaeab13'!C47)+ISNUMBER(b2f4402deaee!C47)+ISNUMBER('1c4d314e87cd'!C47)+ISNUMBER(acd4708edfe6!C47)+ISNUMBER('9a32b1f50fb5'!C47)+ISNUMBER('2df562aa32e7'!C47)+ISNUMBER('3a5a3c04bd9d'!C47)+ISNUMBER('192241189337'!C47)+ISNUMBER('23a0423d7f40'!C47)+ISNUMBER('096252bb3796'!C47)+ISNUMBER(a53d1c7f9645!C47)+ISNUMBER('283d32631463'!C47)+ISNUMBER('1a542cfbf2c5'!C47)+ISNUMBER(cf262786a0e1!C47)+ISNUMBER('4b9efdeaeb40'!C47)+ISNUMBER('66fab14edc4c'!C47)+ISNUMBER(d9a84a7879b5!C47)+ISNUMBER(caf2b28627a3!C47)+ISNUMBER('602e9d1875d1'!C47)+ISNUMBER(f168037f7f37!C47)+ISNUMBER(eb071de1ab08!C47)+ISNUMBER('7b3bd85715a4'!C47)+ISNUMBER(e2a9b537c609!C47)+ISNUMBER(f97457958ce9!C47)+ISNUMBER('281fcc7d7eae'!C47)+ISNUMBER('01454b1cfeba'!C47)+ISNUMBER('79287892b1d7'!C47)+ISNUMBER('1b3f96535b56'!C47),"")</f>
        <v/>
      </c>
      <c r="H34" s="17" t="str">
        <f>IF(ISNUMBER('1ae03038ed69'!D47)+ISNUMBER('1572eb063e5c'!D47)+ISNUMBER(b6ea66d78823!D47)+ISNUMBER('6d8dcb722ca4'!D47)+ISNUMBER('9306b30af184'!D47)+ISNUMBER('3b760aaeab13'!D47)+ISNUMBER(b2f4402deaee!D47)+ISNUMBER('1c4d314e87cd'!D47)+ISNUMBER(acd4708edfe6!D47)+ISNUMBER('9a32b1f50fb5'!D47)+ISNUMBER('2df562aa32e7'!D47)+ISNUMBER('3a5a3c04bd9d'!D47)+ISNUMBER('192241189337'!D47)+ISNUMBER('23a0423d7f40'!D47)+ISNUMBER('096252bb3796'!D47)+ISNUMBER(a53d1c7f9645!D47)+ISNUMBER('283d32631463'!D47)+ISNUMBER('1a542cfbf2c5'!D47)+ISNUMBER(cf262786a0e1!D47)+ISNUMBER('4b9efdeaeb40'!D47)+ISNUMBER('66fab14edc4c'!D47)+ISNUMBER(d9a84a7879b5!D47)+ISNUMBER(caf2b28627a3!D47)+ISNUMBER('602e9d1875d1'!D47)+ISNUMBER(f168037f7f37!D47)+ISNUMBER(eb071de1ab08!D47)+ISNUMBER('7b3bd85715a4'!D47)+ISNUMBER(e2a9b537c609!D47)+ISNUMBER(f97457958ce9!D47)+ISNUMBER('281fcc7d7eae'!D47)+ISNUMBER('01454b1cfeba'!D47)+ISNUMBER('79287892b1d7'!D47)+ISNUMBER('1b3f96535b56'!D47),ISNUMBER('1ae03038ed69'!D47)+ISNUMBER('1572eb063e5c'!D47)+ISNUMBER(b6ea66d78823!D47)+ISNUMBER('6d8dcb722ca4'!D47)+ISNUMBER('9306b30af184'!D47)+ISNUMBER('3b760aaeab13'!D47)+ISNUMBER(b2f4402deaee!D47)+ISNUMBER('1c4d314e87cd'!D47)+ISNUMBER(acd4708edfe6!D47)+ISNUMBER('9a32b1f50fb5'!D47)+ISNUMBER('2df562aa32e7'!D47)+ISNUMBER('3a5a3c04bd9d'!D47)+ISNUMBER('192241189337'!D47)+ISNUMBER('23a0423d7f40'!D47)+ISNUMBER('096252bb3796'!D47)+ISNUMBER(a53d1c7f9645!D47)+ISNUMBER('283d32631463'!D47)+ISNUMBER('1a542cfbf2c5'!D47)+ISNUMBER(cf262786a0e1!D47)+ISNUMBER('4b9efdeaeb40'!D47)+ISNUMBER('66fab14edc4c'!D47)+ISNUMBER(d9a84a7879b5!D47)+ISNUMBER(caf2b28627a3!D47)+ISNUMBER('602e9d1875d1'!D47)+ISNUMBER(f168037f7f37!D47)+ISNUMBER(eb071de1ab08!D47)+ISNUMBER('7b3bd85715a4'!D47)+ISNUMBER(e2a9b537c609!D47)+ISNUMBER(f97457958ce9!D47)+ISNUMBER('281fcc7d7eae'!D47)+ISNUMBER('01454b1cfeba'!D47)+ISNUMBER('79287892b1d7'!D47)+ISNUMBER('1b3f96535b56'!D47),"")</f>
        <v/>
      </c>
      <c r="I34" s="18" t="str">
        <f>IF(ISNUMBER('1ae03038ed69'!E47)+ISNUMBER('1572eb063e5c'!E47)+ISNUMBER(b6ea66d78823!E47)+ISNUMBER('6d8dcb722ca4'!E47)+ISNUMBER('9306b30af184'!E47)+ISNUMBER('3b760aaeab13'!E47)+ISNUMBER(b2f4402deaee!E47)+ISNUMBER('1c4d314e87cd'!E47)+ISNUMBER(acd4708edfe6!E47)+ISNUMBER('9a32b1f50fb5'!E47)+ISNUMBER('2df562aa32e7'!E47)+ISNUMBER('3a5a3c04bd9d'!E47)+ISNUMBER('192241189337'!E47)+ISNUMBER('23a0423d7f40'!E47)+ISNUMBER('096252bb3796'!E47)+ISNUMBER(a53d1c7f9645!E47)+ISNUMBER('283d32631463'!E47)+ISNUMBER('1a542cfbf2c5'!E47)+ISNUMBER(cf262786a0e1!E47)+ISNUMBER('4b9efdeaeb40'!E47)+ISNUMBER('66fab14edc4c'!E47)+ISNUMBER(d9a84a7879b5!E47)+ISNUMBER(caf2b28627a3!E47)+ISNUMBER('602e9d1875d1'!E47)+ISNUMBER(f168037f7f37!E47)+ISNUMBER(eb071de1ab08!E47)+ISNUMBER('7b3bd85715a4'!E47)+ISNUMBER(e2a9b537c609!E47)+ISNUMBER(f97457958ce9!E47)+ISNUMBER('281fcc7d7eae'!E47)+ISNUMBER('01454b1cfeba'!E47)+ISNUMBER('79287892b1d7'!E47)+ISNUMBER('1b3f96535b56'!E47),ISNUMBER('1ae03038ed69'!E47)+ISNUMBER('1572eb063e5c'!E47)+ISNUMBER(b6ea66d78823!E47)+ISNUMBER('6d8dcb722ca4'!E47)+ISNUMBER('9306b30af184'!E47)+ISNUMBER('3b760aaeab13'!E47)+ISNUMBER(b2f4402deaee!E47)+ISNUMBER('1c4d314e87cd'!E47)+ISNUMBER(acd4708edfe6!E47)+ISNUMBER('9a32b1f50fb5'!E47)+ISNUMBER('2df562aa32e7'!E47)+ISNUMBER('3a5a3c04bd9d'!E47)+ISNUMBER('192241189337'!E47)+ISNUMBER('23a0423d7f40'!E47)+ISNUMBER('096252bb3796'!E47)+ISNUMBER(a53d1c7f9645!E47)+ISNUMBER('283d32631463'!E47)+ISNUMBER('1a542cfbf2c5'!E47)+ISNUMBER(cf262786a0e1!E47)+ISNUMBER('4b9efdeaeb40'!E47)+ISNUMBER('66fab14edc4c'!E47)+ISNUMBER(d9a84a7879b5!E47)+ISNUMBER(caf2b28627a3!E47)+ISNUMBER('602e9d1875d1'!E47)+ISNUMBER(f168037f7f37!E47)+ISNUMBER(eb071de1ab08!E47)+ISNUMBER('7b3bd85715a4'!E47)+ISNUMBER(e2a9b537c609!E47)+ISNUMBER(f97457958ce9!E47)+ISNUMBER('281fcc7d7eae'!E47)+ISNUMBER('01454b1cfeba'!E47)+ISNUMBER('79287892b1d7'!E47)+ISNUMBER('1b3f96535b56'!E47),"")</f>
        <v/>
      </c>
      <c r="J34" s="18" t="str">
        <f>IF(ISNUMBER('1ae03038ed69'!F47)+ISNUMBER('1572eb063e5c'!F47)+ISNUMBER(b6ea66d78823!F47)+ISNUMBER('6d8dcb722ca4'!F47)+ISNUMBER('9306b30af184'!F47)+ISNUMBER('3b760aaeab13'!F47)+ISNUMBER(b2f4402deaee!F47)+ISNUMBER('1c4d314e87cd'!F47)+ISNUMBER(acd4708edfe6!F47)+ISNUMBER('9a32b1f50fb5'!F47)+ISNUMBER('2df562aa32e7'!F47)+ISNUMBER('3a5a3c04bd9d'!F47)+ISNUMBER('192241189337'!F47)+ISNUMBER('23a0423d7f40'!F47)+ISNUMBER('096252bb3796'!F47)+ISNUMBER(a53d1c7f9645!F47)+ISNUMBER('283d32631463'!F47)+ISNUMBER('1a542cfbf2c5'!F47)+ISNUMBER(cf262786a0e1!F47)+ISNUMBER('4b9efdeaeb40'!F47)+ISNUMBER('66fab14edc4c'!F47)+ISNUMBER(d9a84a7879b5!F47)+ISNUMBER(caf2b28627a3!F47)+ISNUMBER('602e9d1875d1'!F47)+ISNUMBER(f168037f7f37!F47)+ISNUMBER(eb071de1ab08!F47)+ISNUMBER('7b3bd85715a4'!F47)+ISNUMBER(e2a9b537c609!F47)+ISNUMBER(f97457958ce9!F47)+ISNUMBER('281fcc7d7eae'!F47)+ISNUMBER('01454b1cfeba'!F47)+ISNUMBER('79287892b1d7'!F47)+ISNUMBER('1b3f96535b56'!F47),ISNUMBER('1ae03038ed69'!F47)+ISNUMBER('1572eb063e5c'!F47)+ISNUMBER(b6ea66d78823!F47)+ISNUMBER('6d8dcb722ca4'!F47)+ISNUMBER('9306b30af184'!F47)+ISNUMBER('3b760aaeab13'!F47)+ISNUMBER(b2f4402deaee!F47)+ISNUMBER('1c4d314e87cd'!F47)+ISNUMBER(acd4708edfe6!F47)+ISNUMBER('9a32b1f50fb5'!F47)+ISNUMBER('2df562aa32e7'!F47)+ISNUMBER('3a5a3c04bd9d'!F47)+ISNUMBER('192241189337'!F47)+ISNUMBER('23a0423d7f40'!F47)+ISNUMBER('096252bb3796'!F47)+ISNUMBER(a53d1c7f9645!F47)+ISNUMBER('283d32631463'!F47)+ISNUMBER('1a542cfbf2c5'!F47)+ISNUMBER(cf262786a0e1!F47)+ISNUMBER('4b9efdeaeb40'!F47)+ISNUMBER('66fab14edc4c'!F47)+ISNUMBER(d9a84a7879b5!F47)+ISNUMBER(caf2b28627a3!F47)+ISNUMBER('602e9d1875d1'!F47)+ISNUMBER(f168037f7f37!F47)+ISNUMBER(eb071de1ab08!F47)+ISNUMBER('7b3bd85715a4'!F47)+ISNUMBER(e2a9b537c609!F47)+ISNUMBER(f97457958ce9!F47)+ISNUMBER('281fcc7d7eae'!F47)+ISNUMBER('01454b1cfeba'!F47)+ISNUMBER('79287892b1d7'!F47)+ISNUMBER('1b3f96535b56'!F47),"")</f>
        <v/>
      </c>
      <c r="K34" s="17">
        <f>IF(ISNUMBER('1ae03038ed69'!G47)+ISNUMBER('1572eb063e5c'!G47)+ISNUMBER(b6ea66d78823!G47)+ISNUMBER('6d8dcb722ca4'!G47)+ISNUMBER('9306b30af184'!G47)+ISNUMBER('3b760aaeab13'!G47)+ISNUMBER(b2f4402deaee!G47)+ISNUMBER('1c4d314e87cd'!G47)+ISNUMBER(acd4708edfe6!G47)+ISNUMBER('9a32b1f50fb5'!G47)+ISNUMBER('2df562aa32e7'!G47)+ISNUMBER('3a5a3c04bd9d'!G47)+ISNUMBER('192241189337'!G47)+ISNUMBER('23a0423d7f40'!G47)+ISNUMBER('096252bb3796'!G47)+ISNUMBER(a53d1c7f9645!G47)+ISNUMBER('283d32631463'!G47)+ISNUMBER('1a542cfbf2c5'!G47)+ISNUMBER(cf262786a0e1!G47)+ISNUMBER('4b9efdeaeb40'!G47)+ISNUMBER('66fab14edc4c'!G47)+ISNUMBER(d9a84a7879b5!G47)+ISNUMBER(caf2b28627a3!G47)+ISNUMBER('602e9d1875d1'!G47)+ISNUMBER(f168037f7f37!G47)+ISNUMBER(eb071de1ab08!G47)+ISNUMBER('7b3bd85715a4'!G47)+ISNUMBER(e2a9b537c609!G47)+ISNUMBER(f97457958ce9!G47)+ISNUMBER('281fcc7d7eae'!G47)+ISNUMBER('01454b1cfeba'!G47)+ISNUMBER('79287892b1d7'!G47)+ISNUMBER('1b3f96535b56'!G47),ISNUMBER('1ae03038ed69'!G47)+ISNUMBER('1572eb063e5c'!G47)+ISNUMBER(b6ea66d78823!G47)+ISNUMBER('6d8dcb722ca4'!G47)+ISNUMBER('9306b30af184'!G47)+ISNUMBER('3b760aaeab13'!G47)+ISNUMBER(b2f4402deaee!G47)+ISNUMBER('1c4d314e87cd'!G47)+ISNUMBER(acd4708edfe6!G47)+ISNUMBER('9a32b1f50fb5'!G47)+ISNUMBER('2df562aa32e7'!G47)+ISNUMBER('3a5a3c04bd9d'!G47)+ISNUMBER('192241189337'!G47)+ISNUMBER('23a0423d7f40'!G47)+ISNUMBER('096252bb3796'!G47)+ISNUMBER(a53d1c7f9645!G47)+ISNUMBER('283d32631463'!G47)+ISNUMBER('1a542cfbf2c5'!G47)+ISNUMBER(cf262786a0e1!G47)+ISNUMBER('4b9efdeaeb40'!G47)+ISNUMBER('66fab14edc4c'!G47)+ISNUMBER(d9a84a7879b5!G47)+ISNUMBER(caf2b28627a3!G47)+ISNUMBER('602e9d1875d1'!G47)+ISNUMBER(f168037f7f37!G47)+ISNUMBER(eb071de1ab08!G47)+ISNUMBER('7b3bd85715a4'!G47)+ISNUMBER(e2a9b537c609!G47)+ISNUMBER(f97457958ce9!G47)+ISNUMBER('281fcc7d7eae'!G47)+ISNUMBER('01454b1cfeba'!G47)+ISNUMBER('79287892b1d7'!G47)+ISNUMBER('1b3f96535b56'!G47),"")</f>
        <v>2</v>
      </c>
      <c r="L34" s="17">
        <f>IF(ISNUMBER('1ae03038ed69'!H47)+ISNUMBER('1572eb063e5c'!H47)+ISNUMBER(b6ea66d78823!H47)+ISNUMBER('6d8dcb722ca4'!H47)+ISNUMBER('9306b30af184'!H47)+ISNUMBER('3b760aaeab13'!H47)+ISNUMBER(b2f4402deaee!H47)+ISNUMBER('1c4d314e87cd'!H47)+ISNUMBER(acd4708edfe6!H47)+ISNUMBER('9a32b1f50fb5'!H47)+ISNUMBER('2df562aa32e7'!H47)+ISNUMBER('3a5a3c04bd9d'!H47)+ISNUMBER('192241189337'!H47)+ISNUMBER('23a0423d7f40'!H47)+ISNUMBER('096252bb3796'!H47)+ISNUMBER(a53d1c7f9645!H47)+ISNUMBER('283d32631463'!H47)+ISNUMBER('1a542cfbf2c5'!H47)+ISNUMBER(cf262786a0e1!H47)+ISNUMBER('4b9efdeaeb40'!H47)+ISNUMBER('66fab14edc4c'!H47)+ISNUMBER(d9a84a7879b5!H47)+ISNUMBER(caf2b28627a3!H47)+ISNUMBER('602e9d1875d1'!H47)+ISNUMBER(f168037f7f37!H47)+ISNUMBER(eb071de1ab08!H47)+ISNUMBER('7b3bd85715a4'!H47)+ISNUMBER(e2a9b537c609!H47)+ISNUMBER(f97457958ce9!H47)+ISNUMBER('281fcc7d7eae'!H47)+ISNUMBER('01454b1cfeba'!H47)+ISNUMBER('79287892b1d7'!H47)+ISNUMBER('1b3f96535b56'!H47),ISNUMBER('1ae03038ed69'!H47)+ISNUMBER('1572eb063e5c'!H47)+ISNUMBER(b6ea66d78823!H47)+ISNUMBER('6d8dcb722ca4'!H47)+ISNUMBER('9306b30af184'!H47)+ISNUMBER('3b760aaeab13'!H47)+ISNUMBER(b2f4402deaee!H47)+ISNUMBER('1c4d314e87cd'!H47)+ISNUMBER(acd4708edfe6!H47)+ISNUMBER('9a32b1f50fb5'!H47)+ISNUMBER('2df562aa32e7'!H47)+ISNUMBER('3a5a3c04bd9d'!H47)+ISNUMBER('192241189337'!H47)+ISNUMBER('23a0423d7f40'!H47)+ISNUMBER('096252bb3796'!H47)+ISNUMBER(a53d1c7f9645!H47)+ISNUMBER('283d32631463'!H47)+ISNUMBER('1a542cfbf2c5'!H47)+ISNUMBER(cf262786a0e1!H47)+ISNUMBER('4b9efdeaeb40'!H47)+ISNUMBER('66fab14edc4c'!H47)+ISNUMBER(d9a84a7879b5!H47)+ISNUMBER(caf2b28627a3!H47)+ISNUMBER('602e9d1875d1'!H47)+ISNUMBER(f168037f7f37!H47)+ISNUMBER(eb071de1ab08!H47)+ISNUMBER('7b3bd85715a4'!H47)+ISNUMBER(e2a9b537c609!H47)+ISNUMBER(f97457958ce9!H47)+ISNUMBER('281fcc7d7eae'!H47)+ISNUMBER('01454b1cfeba'!H47)+ISNUMBER('79287892b1d7'!H47)+ISNUMBER('1b3f96535b56'!H47),"")</f>
        <v>1</v>
      </c>
      <c r="M34" s="18" t="str">
        <f>IF(ISNUMBER('1ae03038ed69'!I47)+ISNUMBER('1572eb063e5c'!I47)+ISNUMBER(b6ea66d78823!I47)+ISNUMBER('6d8dcb722ca4'!I47)+ISNUMBER('9306b30af184'!I47)+ISNUMBER('3b760aaeab13'!I47)+ISNUMBER(b2f4402deaee!I47)+ISNUMBER('1c4d314e87cd'!I47)+ISNUMBER(acd4708edfe6!I47)+ISNUMBER('9a32b1f50fb5'!I47)+ISNUMBER('2df562aa32e7'!I47)+ISNUMBER('3a5a3c04bd9d'!I47)+ISNUMBER('192241189337'!I47)+ISNUMBER('23a0423d7f40'!I47)+ISNUMBER('096252bb3796'!I47)+ISNUMBER(a53d1c7f9645!I47)+ISNUMBER('283d32631463'!I47)+ISNUMBER('1a542cfbf2c5'!I47)+ISNUMBER(cf262786a0e1!I47)+ISNUMBER('4b9efdeaeb40'!I47)+ISNUMBER('66fab14edc4c'!I47)+ISNUMBER(d9a84a7879b5!I47)+ISNUMBER(caf2b28627a3!I47)+ISNUMBER('602e9d1875d1'!I47)+ISNUMBER(f168037f7f37!I47)+ISNUMBER(eb071de1ab08!I47)+ISNUMBER('7b3bd85715a4'!I47)+ISNUMBER(e2a9b537c609!I47)+ISNUMBER(f97457958ce9!I47)+ISNUMBER('281fcc7d7eae'!I47)+ISNUMBER('01454b1cfeba'!I47)+ISNUMBER('79287892b1d7'!I47)+ISNUMBER('1b3f96535b56'!I47),ISNUMBER('1ae03038ed69'!I47)+ISNUMBER('1572eb063e5c'!I47)+ISNUMBER(b6ea66d78823!I47)+ISNUMBER('6d8dcb722ca4'!I47)+ISNUMBER('9306b30af184'!I47)+ISNUMBER('3b760aaeab13'!I47)+ISNUMBER(b2f4402deaee!I47)+ISNUMBER('1c4d314e87cd'!I47)+ISNUMBER(acd4708edfe6!I47)+ISNUMBER('9a32b1f50fb5'!I47)+ISNUMBER('2df562aa32e7'!I47)+ISNUMBER('3a5a3c04bd9d'!I47)+ISNUMBER('192241189337'!I47)+ISNUMBER('23a0423d7f40'!I47)+ISNUMBER('096252bb3796'!I47)+ISNUMBER(a53d1c7f9645!I47)+ISNUMBER('283d32631463'!I47)+ISNUMBER('1a542cfbf2c5'!I47)+ISNUMBER(cf262786a0e1!I47)+ISNUMBER('4b9efdeaeb40'!I47)+ISNUMBER('66fab14edc4c'!I47)+ISNUMBER(d9a84a7879b5!I47)+ISNUMBER(caf2b28627a3!I47)+ISNUMBER('602e9d1875d1'!I47)+ISNUMBER(f168037f7f37!I47)+ISNUMBER(eb071de1ab08!I47)+ISNUMBER('7b3bd85715a4'!I47)+ISNUMBER(e2a9b537c609!I47)+ISNUMBER(f97457958ce9!I47)+ISNUMBER('281fcc7d7eae'!I47)+ISNUMBER('01454b1cfeba'!I47)+ISNUMBER('79287892b1d7'!I47)+ISNUMBER('1b3f96535b56'!I47),"")</f>
        <v/>
      </c>
      <c r="N34" s="18" t="str">
        <f>IF(ISNUMBER('1ae03038ed69'!J47)+ISNUMBER('1572eb063e5c'!J47)+ISNUMBER(b6ea66d78823!J47)+ISNUMBER('6d8dcb722ca4'!J47)+ISNUMBER('9306b30af184'!J47)+ISNUMBER('3b760aaeab13'!J47)+ISNUMBER(b2f4402deaee!J47)+ISNUMBER('1c4d314e87cd'!J47)+ISNUMBER(acd4708edfe6!J47)+ISNUMBER('9a32b1f50fb5'!J47)+ISNUMBER('2df562aa32e7'!J47)+ISNUMBER('3a5a3c04bd9d'!J47)+ISNUMBER('192241189337'!J47)+ISNUMBER('23a0423d7f40'!J47)+ISNUMBER('096252bb3796'!J47)+ISNUMBER(a53d1c7f9645!J47)+ISNUMBER('283d32631463'!J47)+ISNUMBER('1a542cfbf2c5'!J47)+ISNUMBER(cf262786a0e1!J47)+ISNUMBER('4b9efdeaeb40'!J47)+ISNUMBER('66fab14edc4c'!J47)+ISNUMBER(d9a84a7879b5!J47)+ISNUMBER(caf2b28627a3!J47)+ISNUMBER('602e9d1875d1'!J47)+ISNUMBER(f168037f7f37!J47)+ISNUMBER(eb071de1ab08!J47)+ISNUMBER('7b3bd85715a4'!J47)+ISNUMBER(e2a9b537c609!J47)+ISNUMBER(f97457958ce9!J47)+ISNUMBER('281fcc7d7eae'!J47)+ISNUMBER('01454b1cfeba'!J47)+ISNUMBER('79287892b1d7'!J47)+ISNUMBER('1b3f96535b56'!J47),ISNUMBER('1ae03038ed69'!J47)+ISNUMBER('1572eb063e5c'!J47)+ISNUMBER(b6ea66d78823!J47)+ISNUMBER('6d8dcb722ca4'!J47)+ISNUMBER('9306b30af184'!J47)+ISNUMBER('3b760aaeab13'!J47)+ISNUMBER(b2f4402deaee!J47)+ISNUMBER('1c4d314e87cd'!J47)+ISNUMBER(acd4708edfe6!J47)+ISNUMBER('9a32b1f50fb5'!J47)+ISNUMBER('2df562aa32e7'!J47)+ISNUMBER('3a5a3c04bd9d'!J47)+ISNUMBER('192241189337'!J47)+ISNUMBER('23a0423d7f40'!J47)+ISNUMBER('096252bb3796'!J47)+ISNUMBER(a53d1c7f9645!J47)+ISNUMBER('283d32631463'!J47)+ISNUMBER('1a542cfbf2c5'!J47)+ISNUMBER(cf262786a0e1!J47)+ISNUMBER('4b9efdeaeb40'!J47)+ISNUMBER('66fab14edc4c'!J47)+ISNUMBER(d9a84a7879b5!J47)+ISNUMBER(caf2b28627a3!J47)+ISNUMBER('602e9d1875d1'!J47)+ISNUMBER(f168037f7f37!J47)+ISNUMBER(eb071de1ab08!J47)+ISNUMBER('7b3bd85715a4'!J47)+ISNUMBER(e2a9b537c609!J47)+ISNUMBER(f97457958ce9!J47)+ISNUMBER('281fcc7d7eae'!J47)+ISNUMBER('01454b1cfeba'!J47)+ISNUMBER('79287892b1d7'!J47)+ISNUMBER('1b3f96535b56'!J47),"")</f>
        <v/>
      </c>
      <c r="O34" s="17">
        <f>IF(ISNUMBER('1ae03038ed69'!K47)+ISNUMBER('1572eb063e5c'!K47)+ISNUMBER(b6ea66d78823!K47)+ISNUMBER('6d8dcb722ca4'!K47)+ISNUMBER('9306b30af184'!K47)+ISNUMBER('3b760aaeab13'!K47)+ISNUMBER(b2f4402deaee!K47)+ISNUMBER('1c4d314e87cd'!K47)+ISNUMBER(acd4708edfe6!K47)+ISNUMBER('9a32b1f50fb5'!K47)+ISNUMBER('2df562aa32e7'!K47)+ISNUMBER('3a5a3c04bd9d'!K47)+ISNUMBER('192241189337'!K47)+ISNUMBER('23a0423d7f40'!K47)+ISNUMBER('096252bb3796'!K47)+ISNUMBER(a53d1c7f9645!K47)+ISNUMBER('283d32631463'!K47)+ISNUMBER('1a542cfbf2c5'!K47)+ISNUMBER(cf262786a0e1!K47)+ISNUMBER('4b9efdeaeb40'!K47)+ISNUMBER('66fab14edc4c'!K47)+ISNUMBER(d9a84a7879b5!K47)+ISNUMBER(caf2b28627a3!K47)+ISNUMBER('602e9d1875d1'!K47)+ISNUMBER(f168037f7f37!K47)+ISNUMBER(eb071de1ab08!K47)+ISNUMBER('7b3bd85715a4'!K47)+ISNUMBER(e2a9b537c609!K47)+ISNUMBER(f97457958ce9!K47)+ISNUMBER('281fcc7d7eae'!K47)+ISNUMBER('01454b1cfeba'!K47)+ISNUMBER('79287892b1d7'!K47)+ISNUMBER('1b3f96535b56'!K47),ISNUMBER('1ae03038ed69'!K47)+ISNUMBER('1572eb063e5c'!K47)+ISNUMBER(b6ea66d78823!K47)+ISNUMBER('6d8dcb722ca4'!K47)+ISNUMBER('9306b30af184'!K47)+ISNUMBER('3b760aaeab13'!K47)+ISNUMBER(b2f4402deaee!K47)+ISNUMBER('1c4d314e87cd'!K47)+ISNUMBER(acd4708edfe6!K47)+ISNUMBER('9a32b1f50fb5'!K47)+ISNUMBER('2df562aa32e7'!K47)+ISNUMBER('3a5a3c04bd9d'!K47)+ISNUMBER('192241189337'!K47)+ISNUMBER('23a0423d7f40'!K47)+ISNUMBER('096252bb3796'!K47)+ISNUMBER(a53d1c7f9645!K47)+ISNUMBER('283d32631463'!K47)+ISNUMBER('1a542cfbf2c5'!K47)+ISNUMBER(cf262786a0e1!K47)+ISNUMBER('4b9efdeaeb40'!K47)+ISNUMBER('66fab14edc4c'!K47)+ISNUMBER(d9a84a7879b5!K47)+ISNUMBER(caf2b28627a3!K47)+ISNUMBER('602e9d1875d1'!K47)+ISNUMBER(f168037f7f37!K47)+ISNUMBER(eb071de1ab08!K47)+ISNUMBER('7b3bd85715a4'!K47)+ISNUMBER(e2a9b537c609!K47)+ISNUMBER(f97457958ce9!K47)+ISNUMBER('281fcc7d7eae'!K47)+ISNUMBER('01454b1cfeba'!K47)+ISNUMBER('79287892b1d7'!K47)+ISNUMBER('1b3f96535b56'!K47),"")</f>
        <v>1</v>
      </c>
      <c r="P34" s="17" t="str">
        <f>IF(ISNUMBER('1ae03038ed69'!L47)+ISNUMBER('1572eb063e5c'!L47)+ISNUMBER(b6ea66d78823!L47)+ISNUMBER('6d8dcb722ca4'!L47)+ISNUMBER('9306b30af184'!L47)+ISNUMBER('3b760aaeab13'!L47)+ISNUMBER(b2f4402deaee!L47)+ISNUMBER('1c4d314e87cd'!L47)+ISNUMBER(acd4708edfe6!L47)+ISNUMBER('9a32b1f50fb5'!L47)+ISNUMBER('2df562aa32e7'!L47)+ISNUMBER('3a5a3c04bd9d'!L47)+ISNUMBER('192241189337'!L47)+ISNUMBER('23a0423d7f40'!L47)+ISNUMBER('096252bb3796'!L47)+ISNUMBER(a53d1c7f9645!L47)+ISNUMBER('283d32631463'!L47)+ISNUMBER('1a542cfbf2c5'!L47)+ISNUMBER(cf262786a0e1!L47)+ISNUMBER('4b9efdeaeb40'!L47)+ISNUMBER('66fab14edc4c'!L47)+ISNUMBER(d9a84a7879b5!L47)+ISNUMBER(caf2b28627a3!L47)+ISNUMBER('602e9d1875d1'!L47)+ISNUMBER(f168037f7f37!L47)+ISNUMBER(eb071de1ab08!L47)+ISNUMBER('7b3bd85715a4'!L47)+ISNUMBER(e2a9b537c609!L47)+ISNUMBER(f97457958ce9!L47)+ISNUMBER('281fcc7d7eae'!L47)+ISNUMBER('01454b1cfeba'!L47)+ISNUMBER('79287892b1d7'!L47)+ISNUMBER('1b3f96535b56'!L47),ISNUMBER('1ae03038ed69'!L47)+ISNUMBER('1572eb063e5c'!L47)+ISNUMBER(b6ea66d78823!L47)+ISNUMBER('6d8dcb722ca4'!L47)+ISNUMBER('9306b30af184'!L47)+ISNUMBER('3b760aaeab13'!L47)+ISNUMBER(b2f4402deaee!L47)+ISNUMBER('1c4d314e87cd'!L47)+ISNUMBER(acd4708edfe6!L47)+ISNUMBER('9a32b1f50fb5'!L47)+ISNUMBER('2df562aa32e7'!L47)+ISNUMBER('3a5a3c04bd9d'!L47)+ISNUMBER('192241189337'!L47)+ISNUMBER('23a0423d7f40'!L47)+ISNUMBER('096252bb3796'!L47)+ISNUMBER(a53d1c7f9645!L47)+ISNUMBER('283d32631463'!L47)+ISNUMBER('1a542cfbf2c5'!L47)+ISNUMBER(cf262786a0e1!L47)+ISNUMBER('4b9efdeaeb40'!L47)+ISNUMBER('66fab14edc4c'!L47)+ISNUMBER(d9a84a7879b5!L47)+ISNUMBER(caf2b28627a3!L47)+ISNUMBER('602e9d1875d1'!L47)+ISNUMBER(f168037f7f37!L47)+ISNUMBER(eb071de1ab08!L47)+ISNUMBER('7b3bd85715a4'!L47)+ISNUMBER(e2a9b537c609!L47)+ISNUMBER(f97457958ce9!L47)+ISNUMBER('281fcc7d7eae'!L47)+ISNUMBER('01454b1cfeba'!L47)+ISNUMBER('79287892b1d7'!L47)+ISNUMBER('1b3f96535b56'!L47),"")</f>
        <v/>
      </c>
      <c r="Q34" s="18" t="str">
        <f>IF(ISNUMBER('1ae03038ed69'!M47)+ISNUMBER('1572eb063e5c'!M47)+ISNUMBER(b6ea66d78823!M47)+ISNUMBER('6d8dcb722ca4'!M47)+ISNUMBER('9306b30af184'!M47)+ISNUMBER('3b760aaeab13'!M47)+ISNUMBER(b2f4402deaee!M47)+ISNUMBER('1c4d314e87cd'!M47)+ISNUMBER(acd4708edfe6!M47)+ISNUMBER('9a32b1f50fb5'!M47)+ISNUMBER('2df562aa32e7'!M47)+ISNUMBER('3a5a3c04bd9d'!M47)+ISNUMBER('192241189337'!M47)+ISNUMBER('23a0423d7f40'!M47)+ISNUMBER('096252bb3796'!M47)+ISNUMBER(a53d1c7f9645!M47)+ISNUMBER('283d32631463'!M47)+ISNUMBER('1a542cfbf2c5'!M47)+ISNUMBER(cf262786a0e1!M47)+ISNUMBER('4b9efdeaeb40'!M47)+ISNUMBER('66fab14edc4c'!M47)+ISNUMBER(d9a84a7879b5!M47)+ISNUMBER(caf2b28627a3!M47)+ISNUMBER('602e9d1875d1'!M47)+ISNUMBER(f168037f7f37!M47)+ISNUMBER(eb071de1ab08!M47)+ISNUMBER('7b3bd85715a4'!M47)+ISNUMBER(e2a9b537c609!M47)+ISNUMBER(f97457958ce9!M47)+ISNUMBER('281fcc7d7eae'!M47)+ISNUMBER('01454b1cfeba'!M47)+ISNUMBER('79287892b1d7'!M47)+ISNUMBER('1b3f96535b56'!M47),ISNUMBER('1ae03038ed69'!M47)+ISNUMBER('1572eb063e5c'!M47)+ISNUMBER(b6ea66d78823!M47)+ISNUMBER('6d8dcb722ca4'!M47)+ISNUMBER('9306b30af184'!M47)+ISNUMBER('3b760aaeab13'!M47)+ISNUMBER(b2f4402deaee!M47)+ISNUMBER('1c4d314e87cd'!M47)+ISNUMBER(acd4708edfe6!M47)+ISNUMBER('9a32b1f50fb5'!M47)+ISNUMBER('2df562aa32e7'!M47)+ISNUMBER('3a5a3c04bd9d'!M47)+ISNUMBER('192241189337'!M47)+ISNUMBER('23a0423d7f40'!M47)+ISNUMBER('096252bb3796'!M47)+ISNUMBER(a53d1c7f9645!M47)+ISNUMBER('283d32631463'!M47)+ISNUMBER('1a542cfbf2c5'!M47)+ISNUMBER(cf262786a0e1!M47)+ISNUMBER('4b9efdeaeb40'!M47)+ISNUMBER('66fab14edc4c'!M47)+ISNUMBER(d9a84a7879b5!M47)+ISNUMBER(caf2b28627a3!M47)+ISNUMBER('602e9d1875d1'!M47)+ISNUMBER(f168037f7f37!M47)+ISNUMBER(eb071de1ab08!M47)+ISNUMBER('7b3bd85715a4'!M47)+ISNUMBER(e2a9b537c609!M47)+ISNUMBER(f97457958ce9!M47)+ISNUMBER('281fcc7d7eae'!M47)+ISNUMBER('01454b1cfeba'!M47)+ISNUMBER('79287892b1d7'!M47)+ISNUMBER('1b3f96535b56'!M47),"")</f>
        <v/>
      </c>
      <c r="R34" s="18" t="str">
        <f>IF(ISNUMBER('1ae03038ed69'!N47)+ISNUMBER('1572eb063e5c'!N47)+ISNUMBER(b6ea66d78823!N47)+ISNUMBER('6d8dcb722ca4'!N47)+ISNUMBER('9306b30af184'!N47)+ISNUMBER('3b760aaeab13'!N47)+ISNUMBER(b2f4402deaee!N47)+ISNUMBER('1c4d314e87cd'!N47)+ISNUMBER(acd4708edfe6!N47)+ISNUMBER('9a32b1f50fb5'!N47)+ISNUMBER('2df562aa32e7'!N47)+ISNUMBER('3a5a3c04bd9d'!N47)+ISNUMBER('192241189337'!N47)+ISNUMBER('23a0423d7f40'!N47)+ISNUMBER('096252bb3796'!N47)+ISNUMBER(a53d1c7f9645!N47)+ISNUMBER('283d32631463'!N47)+ISNUMBER('1a542cfbf2c5'!N47)+ISNUMBER(cf262786a0e1!N47)+ISNUMBER('4b9efdeaeb40'!N47)+ISNUMBER('66fab14edc4c'!N47)+ISNUMBER(d9a84a7879b5!N47)+ISNUMBER(caf2b28627a3!N47)+ISNUMBER('602e9d1875d1'!N47)+ISNUMBER(f168037f7f37!N47)+ISNUMBER(eb071de1ab08!N47)+ISNUMBER('7b3bd85715a4'!N47)+ISNUMBER(e2a9b537c609!N47)+ISNUMBER(f97457958ce9!N47)+ISNUMBER('281fcc7d7eae'!N47)+ISNUMBER('01454b1cfeba'!N47)+ISNUMBER('79287892b1d7'!N47)+ISNUMBER('1b3f96535b56'!N47),ISNUMBER('1ae03038ed69'!N47)+ISNUMBER('1572eb063e5c'!N47)+ISNUMBER(b6ea66d78823!N47)+ISNUMBER('6d8dcb722ca4'!N47)+ISNUMBER('9306b30af184'!N47)+ISNUMBER('3b760aaeab13'!N47)+ISNUMBER(b2f4402deaee!N47)+ISNUMBER('1c4d314e87cd'!N47)+ISNUMBER(acd4708edfe6!N47)+ISNUMBER('9a32b1f50fb5'!N47)+ISNUMBER('2df562aa32e7'!N47)+ISNUMBER('3a5a3c04bd9d'!N47)+ISNUMBER('192241189337'!N47)+ISNUMBER('23a0423d7f40'!N47)+ISNUMBER('096252bb3796'!N47)+ISNUMBER(a53d1c7f9645!N47)+ISNUMBER('283d32631463'!N47)+ISNUMBER('1a542cfbf2c5'!N47)+ISNUMBER(cf262786a0e1!N47)+ISNUMBER('4b9efdeaeb40'!N47)+ISNUMBER('66fab14edc4c'!N47)+ISNUMBER(d9a84a7879b5!N47)+ISNUMBER(caf2b28627a3!N47)+ISNUMBER('602e9d1875d1'!N47)+ISNUMBER(f168037f7f37!N47)+ISNUMBER(eb071de1ab08!N47)+ISNUMBER('7b3bd85715a4'!N47)+ISNUMBER(e2a9b537c609!N47)+ISNUMBER(f97457958ce9!N47)+ISNUMBER('281fcc7d7eae'!N47)+ISNUMBER('01454b1cfeba'!N47)+ISNUMBER('79287892b1d7'!N47)+ISNUMBER('1b3f96535b56'!N47),"")</f>
        <v/>
      </c>
      <c r="U34" t="s">
        <v>73</v>
      </c>
      <c r="V34" t="s">
        <v>74</v>
      </c>
    </row>
    <row r="35" spans="6:22" ht="15.75" customHeight="1">
      <c r="F35" s="16" t="str">
        <f>F19</f>
        <v>Biodiversity and ecosyste…</v>
      </c>
      <c r="G35" s="17" t="str">
        <f>IF(ISNUMBER('1ae03038ed69'!C48)+ISNUMBER('1572eb063e5c'!C48)+ISNUMBER(b6ea66d78823!C48)+ISNUMBER('6d8dcb722ca4'!C48)+ISNUMBER('9306b30af184'!C48)+ISNUMBER('3b760aaeab13'!C48)+ISNUMBER(b2f4402deaee!C48)+ISNUMBER('1c4d314e87cd'!C48)+ISNUMBER(acd4708edfe6!C48)+ISNUMBER('9a32b1f50fb5'!C48)+ISNUMBER('2df562aa32e7'!C48)+ISNUMBER('3a5a3c04bd9d'!C48)+ISNUMBER('192241189337'!C48)+ISNUMBER('23a0423d7f40'!C48)+ISNUMBER('096252bb3796'!C48)+ISNUMBER(a53d1c7f9645!C48)+ISNUMBER('283d32631463'!C48)+ISNUMBER('1a542cfbf2c5'!C48)+ISNUMBER(cf262786a0e1!C48)+ISNUMBER('4b9efdeaeb40'!C48)+ISNUMBER('66fab14edc4c'!C48)+ISNUMBER(d9a84a7879b5!C48)+ISNUMBER(caf2b28627a3!C48)+ISNUMBER('602e9d1875d1'!C48)+ISNUMBER(f168037f7f37!C48)+ISNUMBER(eb071de1ab08!C48)+ISNUMBER('7b3bd85715a4'!C48)+ISNUMBER(e2a9b537c609!C48)+ISNUMBER(f97457958ce9!C48)+ISNUMBER('281fcc7d7eae'!C48)+ISNUMBER('01454b1cfeba'!C48)+ISNUMBER('79287892b1d7'!C48)+ISNUMBER('1b3f96535b56'!C48),ISNUMBER('1ae03038ed69'!C48)+ISNUMBER('1572eb063e5c'!C48)+ISNUMBER(b6ea66d78823!C48)+ISNUMBER('6d8dcb722ca4'!C48)+ISNUMBER('9306b30af184'!C48)+ISNUMBER('3b760aaeab13'!C48)+ISNUMBER(b2f4402deaee!C48)+ISNUMBER('1c4d314e87cd'!C48)+ISNUMBER(acd4708edfe6!C48)+ISNUMBER('9a32b1f50fb5'!C48)+ISNUMBER('2df562aa32e7'!C48)+ISNUMBER('3a5a3c04bd9d'!C48)+ISNUMBER('192241189337'!C48)+ISNUMBER('23a0423d7f40'!C48)+ISNUMBER('096252bb3796'!C48)+ISNUMBER(a53d1c7f9645!C48)+ISNUMBER('283d32631463'!C48)+ISNUMBER('1a542cfbf2c5'!C48)+ISNUMBER(cf262786a0e1!C48)+ISNUMBER('4b9efdeaeb40'!C48)+ISNUMBER('66fab14edc4c'!C48)+ISNUMBER(d9a84a7879b5!C48)+ISNUMBER(caf2b28627a3!C48)+ISNUMBER('602e9d1875d1'!C48)+ISNUMBER(f168037f7f37!C48)+ISNUMBER(eb071de1ab08!C48)+ISNUMBER('7b3bd85715a4'!C48)+ISNUMBER(e2a9b537c609!C48)+ISNUMBER(f97457958ce9!C48)+ISNUMBER('281fcc7d7eae'!C48)+ISNUMBER('01454b1cfeba'!C48)+ISNUMBER('79287892b1d7'!C48)+ISNUMBER('1b3f96535b56'!C48),"")</f>
        <v/>
      </c>
      <c r="H35" s="17" t="str">
        <f>IF(ISNUMBER('1ae03038ed69'!D48)+ISNUMBER('1572eb063e5c'!D48)+ISNUMBER(b6ea66d78823!D48)+ISNUMBER('6d8dcb722ca4'!D48)+ISNUMBER('9306b30af184'!D48)+ISNUMBER('3b760aaeab13'!D48)+ISNUMBER(b2f4402deaee!D48)+ISNUMBER('1c4d314e87cd'!D48)+ISNUMBER(acd4708edfe6!D48)+ISNUMBER('9a32b1f50fb5'!D48)+ISNUMBER('2df562aa32e7'!D48)+ISNUMBER('3a5a3c04bd9d'!D48)+ISNUMBER('192241189337'!D48)+ISNUMBER('23a0423d7f40'!D48)+ISNUMBER('096252bb3796'!D48)+ISNUMBER(a53d1c7f9645!D48)+ISNUMBER('283d32631463'!D48)+ISNUMBER('1a542cfbf2c5'!D48)+ISNUMBER(cf262786a0e1!D48)+ISNUMBER('4b9efdeaeb40'!D48)+ISNUMBER('66fab14edc4c'!D48)+ISNUMBER(d9a84a7879b5!D48)+ISNUMBER(caf2b28627a3!D48)+ISNUMBER('602e9d1875d1'!D48)+ISNUMBER(f168037f7f37!D48)+ISNUMBER(eb071de1ab08!D48)+ISNUMBER('7b3bd85715a4'!D48)+ISNUMBER(e2a9b537c609!D48)+ISNUMBER(f97457958ce9!D48)+ISNUMBER('281fcc7d7eae'!D48)+ISNUMBER('01454b1cfeba'!D48)+ISNUMBER('79287892b1d7'!D48)+ISNUMBER('1b3f96535b56'!D48),ISNUMBER('1ae03038ed69'!D48)+ISNUMBER('1572eb063e5c'!D48)+ISNUMBER(b6ea66d78823!D48)+ISNUMBER('6d8dcb722ca4'!D48)+ISNUMBER('9306b30af184'!D48)+ISNUMBER('3b760aaeab13'!D48)+ISNUMBER(b2f4402deaee!D48)+ISNUMBER('1c4d314e87cd'!D48)+ISNUMBER(acd4708edfe6!D48)+ISNUMBER('9a32b1f50fb5'!D48)+ISNUMBER('2df562aa32e7'!D48)+ISNUMBER('3a5a3c04bd9d'!D48)+ISNUMBER('192241189337'!D48)+ISNUMBER('23a0423d7f40'!D48)+ISNUMBER('096252bb3796'!D48)+ISNUMBER(a53d1c7f9645!D48)+ISNUMBER('283d32631463'!D48)+ISNUMBER('1a542cfbf2c5'!D48)+ISNUMBER(cf262786a0e1!D48)+ISNUMBER('4b9efdeaeb40'!D48)+ISNUMBER('66fab14edc4c'!D48)+ISNUMBER(d9a84a7879b5!D48)+ISNUMBER(caf2b28627a3!D48)+ISNUMBER('602e9d1875d1'!D48)+ISNUMBER(f168037f7f37!D48)+ISNUMBER(eb071de1ab08!D48)+ISNUMBER('7b3bd85715a4'!D48)+ISNUMBER(e2a9b537c609!D48)+ISNUMBER(f97457958ce9!D48)+ISNUMBER('281fcc7d7eae'!D48)+ISNUMBER('01454b1cfeba'!D48)+ISNUMBER('79287892b1d7'!D48)+ISNUMBER('1b3f96535b56'!D48),"")</f>
        <v/>
      </c>
      <c r="I35" s="18">
        <f>IF(ISNUMBER('1ae03038ed69'!E48)+ISNUMBER('1572eb063e5c'!E48)+ISNUMBER(b6ea66d78823!E48)+ISNUMBER('6d8dcb722ca4'!E48)+ISNUMBER('9306b30af184'!E48)+ISNUMBER('3b760aaeab13'!E48)+ISNUMBER(b2f4402deaee!E48)+ISNUMBER('1c4d314e87cd'!E48)+ISNUMBER(acd4708edfe6!E48)+ISNUMBER('9a32b1f50fb5'!E48)+ISNUMBER('2df562aa32e7'!E48)+ISNUMBER('3a5a3c04bd9d'!E48)+ISNUMBER('192241189337'!E48)+ISNUMBER('23a0423d7f40'!E48)+ISNUMBER('096252bb3796'!E48)+ISNUMBER(a53d1c7f9645!E48)+ISNUMBER('283d32631463'!E48)+ISNUMBER('1a542cfbf2c5'!E48)+ISNUMBER(cf262786a0e1!E48)+ISNUMBER('4b9efdeaeb40'!E48)+ISNUMBER('66fab14edc4c'!E48)+ISNUMBER(d9a84a7879b5!E48)+ISNUMBER(caf2b28627a3!E48)+ISNUMBER('602e9d1875d1'!E48)+ISNUMBER(f168037f7f37!E48)+ISNUMBER(eb071de1ab08!E48)+ISNUMBER('7b3bd85715a4'!E48)+ISNUMBER(e2a9b537c609!E48)+ISNUMBER(f97457958ce9!E48)+ISNUMBER('281fcc7d7eae'!E48)+ISNUMBER('01454b1cfeba'!E48)+ISNUMBER('79287892b1d7'!E48)+ISNUMBER('1b3f96535b56'!E48),ISNUMBER('1ae03038ed69'!E48)+ISNUMBER('1572eb063e5c'!E48)+ISNUMBER(b6ea66d78823!E48)+ISNUMBER('6d8dcb722ca4'!E48)+ISNUMBER('9306b30af184'!E48)+ISNUMBER('3b760aaeab13'!E48)+ISNUMBER(b2f4402deaee!E48)+ISNUMBER('1c4d314e87cd'!E48)+ISNUMBER(acd4708edfe6!E48)+ISNUMBER('9a32b1f50fb5'!E48)+ISNUMBER('2df562aa32e7'!E48)+ISNUMBER('3a5a3c04bd9d'!E48)+ISNUMBER('192241189337'!E48)+ISNUMBER('23a0423d7f40'!E48)+ISNUMBER('096252bb3796'!E48)+ISNUMBER(a53d1c7f9645!E48)+ISNUMBER('283d32631463'!E48)+ISNUMBER('1a542cfbf2c5'!E48)+ISNUMBER(cf262786a0e1!E48)+ISNUMBER('4b9efdeaeb40'!E48)+ISNUMBER('66fab14edc4c'!E48)+ISNUMBER(d9a84a7879b5!E48)+ISNUMBER(caf2b28627a3!E48)+ISNUMBER('602e9d1875d1'!E48)+ISNUMBER(f168037f7f37!E48)+ISNUMBER(eb071de1ab08!E48)+ISNUMBER('7b3bd85715a4'!E48)+ISNUMBER(e2a9b537c609!E48)+ISNUMBER(f97457958ce9!E48)+ISNUMBER('281fcc7d7eae'!E48)+ISNUMBER('01454b1cfeba'!E48)+ISNUMBER('79287892b1d7'!E48)+ISNUMBER('1b3f96535b56'!E48),"")</f>
        <v>9</v>
      </c>
      <c r="J35" s="18" t="str">
        <f>IF(ISNUMBER('1ae03038ed69'!F48)+ISNUMBER('1572eb063e5c'!F48)+ISNUMBER(b6ea66d78823!F48)+ISNUMBER('6d8dcb722ca4'!F48)+ISNUMBER('9306b30af184'!F48)+ISNUMBER('3b760aaeab13'!F48)+ISNUMBER(b2f4402deaee!F48)+ISNUMBER('1c4d314e87cd'!F48)+ISNUMBER(acd4708edfe6!F48)+ISNUMBER('9a32b1f50fb5'!F48)+ISNUMBER('2df562aa32e7'!F48)+ISNUMBER('3a5a3c04bd9d'!F48)+ISNUMBER('192241189337'!F48)+ISNUMBER('23a0423d7f40'!F48)+ISNUMBER('096252bb3796'!F48)+ISNUMBER(a53d1c7f9645!F48)+ISNUMBER('283d32631463'!F48)+ISNUMBER('1a542cfbf2c5'!F48)+ISNUMBER(cf262786a0e1!F48)+ISNUMBER('4b9efdeaeb40'!F48)+ISNUMBER('66fab14edc4c'!F48)+ISNUMBER(d9a84a7879b5!F48)+ISNUMBER(caf2b28627a3!F48)+ISNUMBER('602e9d1875d1'!F48)+ISNUMBER(f168037f7f37!F48)+ISNUMBER(eb071de1ab08!F48)+ISNUMBER('7b3bd85715a4'!F48)+ISNUMBER(e2a9b537c609!F48)+ISNUMBER(f97457958ce9!F48)+ISNUMBER('281fcc7d7eae'!F48)+ISNUMBER('01454b1cfeba'!F48)+ISNUMBER('79287892b1d7'!F48)+ISNUMBER('1b3f96535b56'!F48),ISNUMBER('1ae03038ed69'!F48)+ISNUMBER('1572eb063e5c'!F48)+ISNUMBER(b6ea66d78823!F48)+ISNUMBER('6d8dcb722ca4'!F48)+ISNUMBER('9306b30af184'!F48)+ISNUMBER('3b760aaeab13'!F48)+ISNUMBER(b2f4402deaee!F48)+ISNUMBER('1c4d314e87cd'!F48)+ISNUMBER(acd4708edfe6!F48)+ISNUMBER('9a32b1f50fb5'!F48)+ISNUMBER('2df562aa32e7'!F48)+ISNUMBER('3a5a3c04bd9d'!F48)+ISNUMBER('192241189337'!F48)+ISNUMBER('23a0423d7f40'!F48)+ISNUMBER('096252bb3796'!F48)+ISNUMBER(a53d1c7f9645!F48)+ISNUMBER('283d32631463'!F48)+ISNUMBER('1a542cfbf2c5'!F48)+ISNUMBER(cf262786a0e1!F48)+ISNUMBER('4b9efdeaeb40'!F48)+ISNUMBER('66fab14edc4c'!F48)+ISNUMBER(d9a84a7879b5!F48)+ISNUMBER(caf2b28627a3!F48)+ISNUMBER('602e9d1875d1'!F48)+ISNUMBER(f168037f7f37!F48)+ISNUMBER(eb071de1ab08!F48)+ISNUMBER('7b3bd85715a4'!F48)+ISNUMBER(e2a9b537c609!F48)+ISNUMBER(f97457958ce9!F48)+ISNUMBER('281fcc7d7eae'!F48)+ISNUMBER('01454b1cfeba'!F48)+ISNUMBER('79287892b1d7'!F48)+ISNUMBER('1b3f96535b56'!F48),"")</f>
        <v/>
      </c>
      <c r="K35" s="17">
        <f>IF(ISNUMBER('1ae03038ed69'!G48)+ISNUMBER('1572eb063e5c'!G48)+ISNUMBER(b6ea66d78823!G48)+ISNUMBER('6d8dcb722ca4'!G48)+ISNUMBER('9306b30af184'!G48)+ISNUMBER('3b760aaeab13'!G48)+ISNUMBER(b2f4402deaee!G48)+ISNUMBER('1c4d314e87cd'!G48)+ISNUMBER(acd4708edfe6!G48)+ISNUMBER('9a32b1f50fb5'!G48)+ISNUMBER('2df562aa32e7'!G48)+ISNUMBER('3a5a3c04bd9d'!G48)+ISNUMBER('192241189337'!G48)+ISNUMBER('23a0423d7f40'!G48)+ISNUMBER('096252bb3796'!G48)+ISNUMBER(a53d1c7f9645!G48)+ISNUMBER('283d32631463'!G48)+ISNUMBER('1a542cfbf2c5'!G48)+ISNUMBER(cf262786a0e1!G48)+ISNUMBER('4b9efdeaeb40'!G48)+ISNUMBER('66fab14edc4c'!G48)+ISNUMBER(d9a84a7879b5!G48)+ISNUMBER(caf2b28627a3!G48)+ISNUMBER('602e9d1875d1'!G48)+ISNUMBER(f168037f7f37!G48)+ISNUMBER(eb071de1ab08!G48)+ISNUMBER('7b3bd85715a4'!G48)+ISNUMBER(e2a9b537c609!G48)+ISNUMBER(f97457958ce9!G48)+ISNUMBER('281fcc7d7eae'!G48)+ISNUMBER('01454b1cfeba'!G48)+ISNUMBER('79287892b1d7'!G48)+ISNUMBER('1b3f96535b56'!G48),ISNUMBER('1ae03038ed69'!G48)+ISNUMBER('1572eb063e5c'!G48)+ISNUMBER(b6ea66d78823!G48)+ISNUMBER('6d8dcb722ca4'!G48)+ISNUMBER('9306b30af184'!G48)+ISNUMBER('3b760aaeab13'!G48)+ISNUMBER(b2f4402deaee!G48)+ISNUMBER('1c4d314e87cd'!G48)+ISNUMBER(acd4708edfe6!G48)+ISNUMBER('9a32b1f50fb5'!G48)+ISNUMBER('2df562aa32e7'!G48)+ISNUMBER('3a5a3c04bd9d'!G48)+ISNUMBER('192241189337'!G48)+ISNUMBER('23a0423d7f40'!G48)+ISNUMBER('096252bb3796'!G48)+ISNUMBER(a53d1c7f9645!G48)+ISNUMBER('283d32631463'!G48)+ISNUMBER('1a542cfbf2c5'!G48)+ISNUMBER(cf262786a0e1!G48)+ISNUMBER('4b9efdeaeb40'!G48)+ISNUMBER('66fab14edc4c'!G48)+ISNUMBER(d9a84a7879b5!G48)+ISNUMBER(caf2b28627a3!G48)+ISNUMBER('602e9d1875d1'!G48)+ISNUMBER(f168037f7f37!G48)+ISNUMBER(eb071de1ab08!G48)+ISNUMBER('7b3bd85715a4'!G48)+ISNUMBER(e2a9b537c609!G48)+ISNUMBER(f97457958ce9!G48)+ISNUMBER('281fcc7d7eae'!G48)+ISNUMBER('01454b1cfeba'!G48)+ISNUMBER('79287892b1d7'!G48)+ISNUMBER('1b3f96535b56'!G48),"")</f>
        <v>1</v>
      </c>
      <c r="L35" s="17">
        <f>IF(ISNUMBER('1ae03038ed69'!H48)+ISNUMBER('1572eb063e5c'!H48)+ISNUMBER(b6ea66d78823!H48)+ISNUMBER('6d8dcb722ca4'!H48)+ISNUMBER('9306b30af184'!H48)+ISNUMBER('3b760aaeab13'!H48)+ISNUMBER(b2f4402deaee!H48)+ISNUMBER('1c4d314e87cd'!H48)+ISNUMBER(acd4708edfe6!H48)+ISNUMBER('9a32b1f50fb5'!H48)+ISNUMBER('2df562aa32e7'!H48)+ISNUMBER('3a5a3c04bd9d'!H48)+ISNUMBER('192241189337'!H48)+ISNUMBER('23a0423d7f40'!H48)+ISNUMBER('096252bb3796'!H48)+ISNUMBER(a53d1c7f9645!H48)+ISNUMBER('283d32631463'!H48)+ISNUMBER('1a542cfbf2c5'!H48)+ISNUMBER(cf262786a0e1!H48)+ISNUMBER('4b9efdeaeb40'!H48)+ISNUMBER('66fab14edc4c'!H48)+ISNUMBER(d9a84a7879b5!H48)+ISNUMBER(caf2b28627a3!H48)+ISNUMBER('602e9d1875d1'!H48)+ISNUMBER(f168037f7f37!H48)+ISNUMBER(eb071de1ab08!H48)+ISNUMBER('7b3bd85715a4'!H48)+ISNUMBER(e2a9b537c609!H48)+ISNUMBER(f97457958ce9!H48)+ISNUMBER('281fcc7d7eae'!H48)+ISNUMBER('01454b1cfeba'!H48)+ISNUMBER('79287892b1d7'!H48)+ISNUMBER('1b3f96535b56'!H48),ISNUMBER('1ae03038ed69'!H48)+ISNUMBER('1572eb063e5c'!H48)+ISNUMBER(b6ea66d78823!H48)+ISNUMBER('6d8dcb722ca4'!H48)+ISNUMBER('9306b30af184'!H48)+ISNUMBER('3b760aaeab13'!H48)+ISNUMBER(b2f4402deaee!H48)+ISNUMBER('1c4d314e87cd'!H48)+ISNUMBER(acd4708edfe6!H48)+ISNUMBER('9a32b1f50fb5'!H48)+ISNUMBER('2df562aa32e7'!H48)+ISNUMBER('3a5a3c04bd9d'!H48)+ISNUMBER('192241189337'!H48)+ISNUMBER('23a0423d7f40'!H48)+ISNUMBER('096252bb3796'!H48)+ISNUMBER(a53d1c7f9645!H48)+ISNUMBER('283d32631463'!H48)+ISNUMBER('1a542cfbf2c5'!H48)+ISNUMBER(cf262786a0e1!H48)+ISNUMBER('4b9efdeaeb40'!H48)+ISNUMBER('66fab14edc4c'!H48)+ISNUMBER(d9a84a7879b5!H48)+ISNUMBER(caf2b28627a3!H48)+ISNUMBER('602e9d1875d1'!H48)+ISNUMBER(f168037f7f37!H48)+ISNUMBER(eb071de1ab08!H48)+ISNUMBER('7b3bd85715a4'!H48)+ISNUMBER(e2a9b537c609!H48)+ISNUMBER(f97457958ce9!H48)+ISNUMBER('281fcc7d7eae'!H48)+ISNUMBER('01454b1cfeba'!H48)+ISNUMBER('79287892b1d7'!H48)+ISNUMBER('1b3f96535b56'!H48),"")</f>
        <v>1</v>
      </c>
      <c r="M35" s="18">
        <f>IF(ISNUMBER('1ae03038ed69'!I48)+ISNUMBER('1572eb063e5c'!I48)+ISNUMBER(b6ea66d78823!I48)+ISNUMBER('6d8dcb722ca4'!I48)+ISNUMBER('9306b30af184'!I48)+ISNUMBER('3b760aaeab13'!I48)+ISNUMBER(b2f4402deaee!I48)+ISNUMBER('1c4d314e87cd'!I48)+ISNUMBER(acd4708edfe6!I48)+ISNUMBER('9a32b1f50fb5'!I48)+ISNUMBER('2df562aa32e7'!I48)+ISNUMBER('3a5a3c04bd9d'!I48)+ISNUMBER('192241189337'!I48)+ISNUMBER('23a0423d7f40'!I48)+ISNUMBER('096252bb3796'!I48)+ISNUMBER(a53d1c7f9645!I48)+ISNUMBER('283d32631463'!I48)+ISNUMBER('1a542cfbf2c5'!I48)+ISNUMBER(cf262786a0e1!I48)+ISNUMBER('4b9efdeaeb40'!I48)+ISNUMBER('66fab14edc4c'!I48)+ISNUMBER(d9a84a7879b5!I48)+ISNUMBER(caf2b28627a3!I48)+ISNUMBER('602e9d1875d1'!I48)+ISNUMBER(f168037f7f37!I48)+ISNUMBER(eb071de1ab08!I48)+ISNUMBER('7b3bd85715a4'!I48)+ISNUMBER(e2a9b537c609!I48)+ISNUMBER(f97457958ce9!I48)+ISNUMBER('281fcc7d7eae'!I48)+ISNUMBER('01454b1cfeba'!I48)+ISNUMBER('79287892b1d7'!I48)+ISNUMBER('1b3f96535b56'!I48),ISNUMBER('1ae03038ed69'!I48)+ISNUMBER('1572eb063e5c'!I48)+ISNUMBER(b6ea66d78823!I48)+ISNUMBER('6d8dcb722ca4'!I48)+ISNUMBER('9306b30af184'!I48)+ISNUMBER('3b760aaeab13'!I48)+ISNUMBER(b2f4402deaee!I48)+ISNUMBER('1c4d314e87cd'!I48)+ISNUMBER(acd4708edfe6!I48)+ISNUMBER('9a32b1f50fb5'!I48)+ISNUMBER('2df562aa32e7'!I48)+ISNUMBER('3a5a3c04bd9d'!I48)+ISNUMBER('192241189337'!I48)+ISNUMBER('23a0423d7f40'!I48)+ISNUMBER('096252bb3796'!I48)+ISNUMBER(a53d1c7f9645!I48)+ISNUMBER('283d32631463'!I48)+ISNUMBER('1a542cfbf2c5'!I48)+ISNUMBER(cf262786a0e1!I48)+ISNUMBER('4b9efdeaeb40'!I48)+ISNUMBER('66fab14edc4c'!I48)+ISNUMBER(d9a84a7879b5!I48)+ISNUMBER(caf2b28627a3!I48)+ISNUMBER('602e9d1875d1'!I48)+ISNUMBER(f168037f7f37!I48)+ISNUMBER(eb071de1ab08!I48)+ISNUMBER('7b3bd85715a4'!I48)+ISNUMBER(e2a9b537c609!I48)+ISNUMBER(f97457958ce9!I48)+ISNUMBER('281fcc7d7eae'!I48)+ISNUMBER('01454b1cfeba'!I48)+ISNUMBER('79287892b1d7'!I48)+ISNUMBER('1b3f96535b56'!I48),"")</f>
        <v>2</v>
      </c>
      <c r="N35" s="18">
        <f>IF(ISNUMBER('1ae03038ed69'!J48)+ISNUMBER('1572eb063e5c'!J48)+ISNUMBER(b6ea66d78823!J48)+ISNUMBER('6d8dcb722ca4'!J48)+ISNUMBER('9306b30af184'!J48)+ISNUMBER('3b760aaeab13'!J48)+ISNUMBER(b2f4402deaee!J48)+ISNUMBER('1c4d314e87cd'!J48)+ISNUMBER(acd4708edfe6!J48)+ISNUMBER('9a32b1f50fb5'!J48)+ISNUMBER('2df562aa32e7'!J48)+ISNUMBER('3a5a3c04bd9d'!J48)+ISNUMBER('192241189337'!J48)+ISNUMBER('23a0423d7f40'!J48)+ISNUMBER('096252bb3796'!J48)+ISNUMBER(a53d1c7f9645!J48)+ISNUMBER('283d32631463'!J48)+ISNUMBER('1a542cfbf2c5'!J48)+ISNUMBER(cf262786a0e1!J48)+ISNUMBER('4b9efdeaeb40'!J48)+ISNUMBER('66fab14edc4c'!J48)+ISNUMBER(d9a84a7879b5!J48)+ISNUMBER(caf2b28627a3!J48)+ISNUMBER('602e9d1875d1'!J48)+ISNUMBER(f168037f7f37!J48)+ISNUMBER(eb071de1ab08!J48)+ISNUMBER('7b3bd85715a4'!J48)+ISNUMBER(e2a9b537c609!J48)+ISNUMBER(f97457958ce9!J48)+ISNUMBER('281fcc7d7eae'!J48)+ISNUMBER('01454b1cfeba'!J48)+ISNUMBER('79287892b1d7'!J48)+ISNUMBER('1b3f96535b56'!J48),ISNUMBER('1ae03038ed69'!J48)+ISNUMBER('1572eb063e5c'!J48)+ISNUMBER(b6ea66d78823!J48)+ISNUMBER('6d8dcb722ca4'!J48)+ISNUMBER('9306b30af184'!J48)+ISNUMBER('3b760aaeab13'!J48)+ISNUMBER(b2f4402deaee!J48)+ISNUMBER('1c4d314e87cd'!J48)+ISNUMBER(acd4708edfe6!J48)+ISNUMBER('9a32b1f50fb5'!J48)+ISNUMBER('2df562aa32e7'!J48)+ISNUMBER('3a5a3c04bd9d'!J48)+ISNUMBER('192241189337'!J48)+ISNUMBER('23a0423d7f40'!J48)+ISNUMBER('096252bb3796'!J48)+ISNUMBER(a53d1c7f9645!J48)+ISNUMBER('283d32631463'!J48)+ISNUMBER('1a542cfbf2c5'!J48)+ISNUMBER(cf262786a0e1!J48)+ISNUMBER('4b9efdeaeb40'!J48)+ISNUMBER('66fab14edc4c'!J48)+ISNUMBER(d9a84a7879b5!J48)+ISNUMBER(caf2b28627a3!J48)+ISNUMBER('602e9d1875d1'!J48)+ISNUMBER(f168037f7f37!J48)+ISNUMBER(eb071de1ab08!J48)+ISNUMBER('7b3bd85715a4'!J48)+ISNUMBER(e2a9b537c609!J48)+ISNUMBER(f97457958ce9!J48)+ISNUMBER('281fcc7d7eae'!J48)+ISNUMBER('01454b1cfeba'!J48)+ISNUMBER('79287892b1d7'!J48)+ISNUMBER('1b3f96535b56'!J48),"")</f>
        <v>1</v>
      </c>
      <c r="O35" s="17" t="str">
        <f>IF(ISNUMBER('1ae03038ed69'!K48)+ISNUMBER('1572eb063e5c'!K48)+ISNUMBER(b6ea66d78823!K48)+ISNUMBER('6d8dcb722ca4'!K48)+ISNUMBER('9306b30af184'!K48)+ISNUMBER('3b760aaeab13'!K48)+ISNUMBER(b2f4402deaee!K48)+ISNUMBER('1c4d314e87cd'!K48)+ISNUMBER(acd4708edfe6!K48)+ISNUMBER('9a32b1f50fb5'!K48)+ISNUMBER('2df562aa32e7'!K48)+ISNUMBER('3a5a3c04bd9d'!K48)+ISNUMBER('192241189337'!K48)+ISNUMBER('23a0423d7f40'!K48)+ISNUMBER('096252bb3796'!K48)+ISNUMBER(a53d1c7f9645!K48)+ISNUMBER('283d32631463'!K48)+ISNUMBER('1a542cfbf2c5'!K48)+ISNUMBER(cf262786a0e1!K48)+ISNUMBER('4b9efdeaeb40'!K48)+ISNUMBER('66fab14edc4c'!K48)+ISNUMBER(d9a84a7879b5!K48)+ISNUMBER(caf2b28627a3!K48)+ISNUMBER('602e9d1875d1'!K48)+ISNUMBER(f168037f7f37!K48)+ISNUMBER(eb071de1ab08!K48)+ISNUMBER('7b3bd85715a4'!K48)+ISNUMBER(e2a9b537c609!K48)+ISNUMBER(f97457958ce9!K48)+ISNUMBER('281fcc7d7eae'!K48)+ISNUMBER('01454b1cfeba'!K48)+ISNUMBER('79287892b1d7'!K48)+ISNUMBER('1b3f96535b56'!K48),ISNUMBER('1ae03038ed69'!K48)+ISNUMBER('1572eb063e5c'!K48)+ISNUMBER(b6ea66d78823!K48)+ISNUMBER('6d8dcb722ca4'!K48)+ISNUMBER('9306b30af184'!K48)+ISNUMBER('3b760aaeab13'!K48)+ISNUMBER(b2f4402deaee!K48)+ISNUMBER('1c4d314e87cd'!K48)+ISNUMBER(acd4708edfe6!K48)+ISNUMBER('9a32b1f50fb5'!K48)+ISNUMBER('2df562aa32e7'!K48)+ISNUMBER('3a5a3c04bd9d'!K48)+ISNUMBER('192241189337'!K48)+ISNUMBER('23a0423d7f40'!K48)+ISNUMBER('096252bb3796'!K48)+ISNUMBER(a53d1c7f9645!K48)+ISNUMBER('283d32631463'!K48)+ISNUMBER('1a542cfbf2c5'!K48)+ISNUMBER(cf262786a0e1!K48)+ISNUMBER('4b9efdeaeb40'!K48)+ISNUMBER('66fab14edc4c'!K48)+ISNUMBER(d9a84a7879b5!K48)+ISNUMBER(caf2b28627a3!K48)+ISNUMBER('602e9d1875d1'!K48)+ISNUMBER(f168037f7f37!K48)+ISNUMBER(eb071de1ab08!K48)+ISNUMBER('7b3bd85715a4'!K48)+ISNUMBER(e2a9b537c609!K48)+ISNUMBER(f97457958ce9!K48)+ISNUMBER('281fcc7d7eae'!K48)+ISNUMBER('01454b1cfeba'!K48)+ISNUMBER('79287892b1d7'!K48)+ISNUMBER('1b3f96535b56'!K48),"")</f>
        <v/>
      </c>
      <c r="P35" s="17" t="str">
        <f>IF(ISNUMBER('1ae03038ed69'!L48)+ISNUMBER('1572eb063e5c'!L48)+ISNUMBER(b6ea66d78823!L48)+ISNUMBER('6d8dcb722ca4'!L48)+ISNUMBER('9306b30af184'!L48)+ISNUMBER('3b760aaeab13'!L48)+ISNUMBER(b2f4402deaee!L48)+ISNUMBER('1c4d314e87cd'!L48)+ISNUMBER(acd4708edfe6!L48)+ISNUMBER('9a32b1f50fb5'!L48)+ISNUMBER('2df562aa32e7'!L48)+ISNUMBER('3a5a3c04bd9d'!L48)+ISNUMBER('192241189337'!L48)+ISNUMBER('23a0423d7f40'!L48)+ISNUMBER('096252bb3796'!L48)+ISNUMBER(a53d1c7f9645!L48)+ISNUMBER('283d32631463'!L48)+ISNUMBER('1a542cfbf2c5'!L48)+ISNUMBER(cf262786a0e1!L48)+ISNUMBER('4b9efdeaeb40'!L48)+ISNUMBER('66fab14edc4c'!L48)+ISNUMBER(d9a84a7879b5!L48)+ISNUMBER(caf2b28627a3!L48)+ISNUMBER('602e9d1875d1'!L48)+ISNUMBER(f168037f7f37!L48)+ISNUMBER(eb071de1ab08!L48)+ISNUMBER('7b3bd85715a4'!L48)+ISNUMBER(e2a9b537c609!L48)+ISNUMBER(f97457958ce9!L48)+ISNUMBER('281fcc7d7eae'!L48)+ISNUMBER('01454b1cfeba'!L48)+ISNUMBER('79287892b1d7'!L48)+ISNUMBER('1b3f96535b56'!L48),ISNUMBER('1ae03038ed69'!L48)+ISNUMBER('1572eb063e5c'!L48)+ISNUMBER(b6ea66d78823!L48)+ISNUMBER('6d8dcb722ca4'!L48)+ISNUMBER('9306b30af184'!L48)+ISNUMBER('3b760aaeab13'!L48)+ISNUMBER(b2f4402deaee!L48)+ISNUMBER('1c4d314e87cd'!L48)+ISNUMBER(acd4708edfe6!L48)+ISNUMBER('9a32b1f50fb5'!L48)+ISNUMBER('2df562aa32e7'!L48)+ISNUMBER('3a5a3c04bd9d'!L48)+ISNUMBER('192241189337'!L48)+ISNUMBER('23a0423d7f40'!L48)+ISNUMBER('096252bb3796'!L48)+ISNUMBER(a53d1c7f9645!L48)+ISNUMBER('283d32631463'!L48)+ISNUMBER('1a542cfbf2c5'!L48)+ISNUMBER(cf262786a0e1!L48)+ISNUMBER('4b9efdeaeb40'!L48)+ISNUMBER('66fab14edc4c'!L48)+ISNUMBER(d9a84a7879b5!L48)+ISNUMBER(caf2b28627a3!L48)+ISNUMBER('602e9d1875d1'!L48)+ISNUMBER(f168037f7f37!L48)+ISNUMBER(eb071de1ab08!L48)+ISNUMBER('7b3bd85715a4'!L48)+ISNUMBER(e2a9b537c609!L48)+ISNUMBER(f97457958ce9!L48)+ISNUMBER('281fcc7d7eae'!L48)+ISNUMBER('01454b1cfeba'!L48)+ISNUMBER('79287892b1d7'!L48)+ISNUMBER('1b3f96535b56'!L48),"")</f>
        <v/>
      </c>
      <c r="Q35" s="18">
        <f>IF(ISNUMBER('1ae03038ed69'!M48)+ISNUMBER('1572eb063e5c'!M48)+ISNUMBER(b6ea66d78823!M48)+ISNUMBER('6d8dcb722ca4'!M48)+ISNUMBER('9306b30af184'!M48)+ISNUMBER('3b760aaeab13'!M48)+ISNUMBER(b2f4402deaee!M48)+ISNUMBER('1c4d314e87cd'!M48)+ISNUMBER(acd4708edfe6!M48)+ISNUMBER('9a32b1f50fb5'!M48)+ISNUMBER('2df562aa32e7'!M48)+ISNUMBER('3a5a3c04bd9d'!M48)+ISNUMBER('192241189337'!M48)+ISNUMBER('23a0423d7f40'!M48)+ISNUMBER('096252bb3796'!M48)+ISNUMBER(a53d1c7f9645!M48)+ISNUMBER('283d32631463'!M48)+ISNUMBER('1a542cfbf2c5'!M48)+ISNUMBER(cf262786a0e1!M48)+ISNUMBER('4b9efdeaeb40'!M48)+ISNUMBER('66fab14edc4c'!M48)+ISNUMBER(d9a84a7879b5!M48)+ISNUMBER(caf2b28627a3!M48)+ISNUMBER('602e9d1875d1'!M48)+ISNUMBER(f168037f7f37!M48)+ISNUMBER(eb071de1ab08!M48)+ISNUMBER('7b3bd85715a4'!M48)+ISNUMBER(e2a9b537c609!M48)+ISNUMBER(f97457958ce9!M48)+ISNUMBER('281fcc7d7eae'!M48)+ISNUMBER('01454b1cfeba'!M48)+ISNUMBER('79287892b1d7'!M48)+ISNUMBER('1b3f96535b56'!M48),ISNUMBER('1ae03038ed69'!M48)+ISNUMBER('1572eb063e5c'!M48)+ISNUMBER(b6ea66d78823!M48)+ISNUMBER('6d8dcb722ca4'!M48)+ISNUMBER('9306b30af184'!M48)+ISNUMBER('3b760aaeab13'!M48)+ISNUMBER(b2f4402deaee!M48)+ISNUMBER('1c4d314e87cd'!M48)+ISNUMBER(acd4708edfe6!M48)+ISNUMBER('9a32b1f50fb5'!M48)+ISNUMBER('2df562aa32e7'!M48)+ISNUMBER('3a5a3c04bd9d'!M48)+ISNUMBER('192241189337'!M48)+ISNUMBER('23a0423d7f40'!M48)+ISNUMBER('096252bb3796'!M48)+ISNUMBER(a53d1c7f9645!M48)+ISNUMBER('283d32631463'!M48)+ISNUMBER('1a542cfbf2c5'!M48)+ISNUMBER(cf262786a0e1!M48)+ISNUMBER('4b9efdeaeb40'!M48)+ISNUMBER('66fab14edc4c'!M48)+ISNUMBER(d9a84a7879b5!M48)+ISNUMBER(caf2b28627a3!M48)+ISNUMBER('602e9d1875d1'!M48)+ISNUMBER(f168037f7f37!M48)+ISNUMBER(eb071de1ab08!M48)+ISNUMBER('7b3bd85715a4'!M48)+ISNUMBER(e2a9b537c609!M48)+ISNUMBER(f97457958ce9!M48)+ISNUMBER('281fcc7d7eae'!M48)+ISNUMBER('01454b1cfeba'!M48)+ISNUMBER('79287892b1d7'!M48)+ISNUMBER('1b3f96535b56'!M48),"")</f>
        <v>1</v>
      </c>
      <c r="R35" s="18" t="str">
        <f>IF(ISNUMBER('1ae03038ed69'!N48)+ISNUMBER('1572eb063e5c'!N48)+ISNUMBER(b6ea66d78823!N48)+ISNUMBER('6d8dcb722ca4'!N48)+ISNUMBER('9306b30af184'!N48)+ISNUMBER('3b760aaeab13'!N48)+ISNUMBER(b2f4402deaee!N48)+ISNUMBER('1c4d314e87cd'!N48)+ISNUMBER(acd4708edfe6!N48)+ISNUMBER('9a32b1f50fb5'!N48)+ISNUMBER('2df562aa32e7'!N48)+ISNUMBER('3a5a3c04bd9d'!N48)+ISNUMBER('192241189337'!N48)+ISNUMBER('23a0423d7f40'!N48)+ISNUMBER('096252bb3796'!N48)+ISNUMBER(a53d1c7f9645!N48)+ISNUMBER('283d32631463'!N48)+ISNUMBER('1a542cfbf2c5'!N48)+ISNUMBER(cf262786a0e1!N48)+ISNUMBER('4b9efdeaeb40'!N48)+ISNUMBER('66fab14edc4c'!N48)+ISNUMBER(d9a84a7879b5!N48)+ISNUMBER(caf2b28627a3!N48)+ISNUMBER('602e9d1875d1'!N48)+ISNUMBER(f168037f7f37!N48)+ISNUMBER(eb071de1ab08!N48)+ISNUMBER('7b3bd85715a4'!N48)+ISNUMBER(e2a9b537c609!N48)+ISNUMBER(f97457958ce9!N48)+ISNUMBER('281fcc7d7eae'!N48)+ISNUMBER('01454b1cfeba'!N48)+ISNUMBER('79287892b1d7'!N48)+ISNUMBER('1b3f96535b56'!N48),ISNUMBER('1ae03038ed69'!N48)+ISNUMBER('1572eb063e5c'!N48)+ISNUMBER(b6ea66d78823!N48)+ISNUMBER('6d8dcb722ca4'!N48)+ISNUMBER('9306b30af184'!N48)+ISNUMBER('3b760aaeab13'!N48)+ISNUMBER(b2f4402deaee!N48)+ISNUMBER('1c4d314e87cd'!N48)+ISNUMBER(acd4708edfe6!N48)+ISNUMBER('9a32b1f50fb5'!N48)+ISNUMBER('2df562aa32e7'!N48)+ISNUMBER('3a5a3c04bd9d'!N48)+ISNUMBER('192241189337'!N48)+ISNUMBER('23a0423d7f40'!N48)+ISNUMBER('096252bb3796'!N48)+ISNUMBER(a53d1c7f9645!N48)+ISNUMBER('283d32631463'!N48)+ISNUMBER('1a542cfbf2c5'!N48)+ISNUMBER(cf262786a0e1!N48)+ISNUMBER('4b9efdeaeb40'!N48)+ISNUMBER('66fab14edc4c'!N48)+ISNUMBER(d9a84a7879b5!N48)+ISNUMBER(caf2b28627a3!N48)+ISNUMBER('602e9d1875d1'!N48)+ISNUMBER(f168037f7f37!N48)+ISNUMBER(eb071de1ab08!N48)+ISNUMBER('7b3bd85715a4'!N48)+ISNUMBER(e2a9b537c609!N48)+ISNUMBER(f97457958ce9!N48)+ISNUMBER('281fcc7d7eae'!N48)+ISNUMBER('01454b1cfeba'!N48)+ISNUMBER('79287892b1d7'!N48)+ISNUMBER('1b3f96535b56'!N48),"")</f>
        <v/>
      </c>
      <c r="U35" t="s">
        <v>75</v>
      </c>
      <c r="V35" t="s">
        <v>76</v>
      </c>
    </row>
    <row r="36" spans="6:22" ht="15.75" customHeight="1">
      <c r="F36" s="16" t="str">
        <f>F20</f>
        <v>Community smart infrastru…</v>
      </c>
      <c r="G36" s="17">
        <f>IF(ISNUMBER('1ae03038ed69'!C49)+ISNUMBER('1572eb063e5c'!C49)+ISNUMBER(b6ea66d78823!C49)+ISNUMBER('6d8dcb722ca4'!C49)+ISNUMBER('9306b30af184'!C49)+ISNUMBER('3b760aaeab13'!C49)+ISNUMBER(b2f4402deaee!C49)+ISNUMBER('1c4d314e87cd'!C49)+ISNUMBER(acd4708edfe6!C49)+ISNUMBER('9a32b1f50fb5'!C49)+ISNUMBER('2df562aa32e7'!C49)+ISNUMBER('3a5a3c04bd9d'!C49)+ISNUMBER('192241189337'!C49)+ISNUMBER('23a0423d7f40'!C49)+ISNUMBER('096252bb3796'!C49)+ISNUMBER(a53d1c7f9645!C49)+ISNUMBER('283d32631463'!C49)+ISNUMBER('1a542cfbf2c5'!C49)+ISNUMBER(cf262786a0e1!C49)+ISNUMBER('4b9efdeaeb40'!C49)+ISNUMBER('66fab14edc4c'!C49)+ISNUMBER(d9a84a7879b5!C49)+ISNUMBER(caf2b28627a3!C49)+ISNUMBER('602e9d1875d1'!C49)+ISNUMBER(f168037f7f37!C49)+ISNUMBER(eb071de1ab08!C49)+ISNUMBER('7b3bd85715a4'!C49)+ISNUMBER(e2a9b537c609!C49)+ISNUMBER(f97457958ce9!C49)+ISNUMBER('281fcc7d7eae'!C49)+ISNUMBER('01454b1cfeba'!C49)+ISNUMBER('79287892b1d7'!C49)+ISNUMBER('1b3f96535b56'!C49),ISNUMBER('1ae03038ed69'!C49)+ISNUMBER('1572eb063e5c'!C49)+ISNUMBER(b6ea66d78823!C49)+ISNUMBER('6d8dcb722ca4'!C49)+ISNUMBER('9306b30af184'!C49)+ISNUMBER('3b760aaeab13'!C49)+ISNUMBER(b2f4402deaee!C49)+ISNUMBER('1c4d314e87cd'!C49)+ISNUMBER(acd4708edfe6!C49)+ISNUMBER('9a32b1f50fb5'!C49)+ISNUMBER('2df562aa32e7'!C49)+ISNUMBER('3a5a3c04bd9d'!C49)+ISNUMBER('192241189337'!C49)+ISNUMBER('23a0423d7f40'!C49)+ISNUMBER('096252bb3796'!C49)+ISNUMBER(a53d1c7f9645!C49)+ISNUMBER('283d32631463'!C49)+ISNUMBER('1a542cfbf2c5'!C49)+ISNUMBER(cf262786a0e1!C49)+ISNUMBER('4b9efdeaeb40'!C49)+ISNUMBER('66fab14edc4c'!C49)+ISNUMBER(d9a84a7879b5!C49)+ISNUMBER(caf2b28627a3!C49)+ISNUMBER('602e9d1875d1'!C49)+ISNUMBER(f168037f7f37!C49)+ISNUMBER(eb071de1ab08!C49)+ISNUMBER('7b3bd85715a4'!C49)+ISNUMBER(e2a9b537c609!C49)+ISNUMBER(f97457958ce9!C49)+ISNUMBER('281fcc7d7eae'!C49)+ISNUMBER('01454b1cfeba'!C49)+ISNUMBER('79287892b1d7'!C49)+ISNUMBER('1b3f96535b56'!C49),"")</f>
        <v>5</v>
      </c>
      <c r="H36" s="17">
        <f>IF(ISNUMBER('1ae03038ed69'!D49)+ISNUMBER('1572eb063e5c'!D49)+ISNUMBER(b6ea66d78823!D49)+ISNUMBER('6d8dcb722ca4'!D49)+ISNUMBER('9306b30af184'!D49)+ISNUMBER('3b760aaeab13'!D49)+ISNUMBER(b2f4402deaee!D49)+ISNUMBER('1c4d314e87cd'!D49)+ISNUMBER(acd4708edfe6!D49)+ISNUMBER('9a32b1f50fb5'!D49)+ISNUMBER('2df562aa32e7'!D49)+ISNUMBER('3a5a3c04bd9d'!D49)+ISNUMBER('192241189337'!D49)+ISNUMBER('23a0423d7f40'!D49)+ISNUMBER('096252bb3796'!D49)+ISNUMBER(a53d1c7f9645!D49)+ISNUMBER('283d32631463'!D49)+ISNUMBER('1a542cfbf2c5'!D49)+ISNUMBER(cf262786a0e1!D49)+ISNUMBER('4b9efdeaeb40'!D49)+ISNUMBER('66fab14edc4c'!D49)+ISNUMBER(d9a84a7879b5!D49)+ISNUMBER(caf2b28627a3!D49)+ISNUMBER('602e9d1875d1'!D49)+ISNUMBER(f168037f7f37!D49)+ISNUMBER(eb071de1ab08!D49)+ISNUMBER('7b3bd85715a4'!D49)+ISNUMBER(e2a9b537c609!D49)+ISNUMBER(f97457958ce9!D49)+ISNUMBER('281fcc7d7eae'!D49)+ISNUMBER('01454b1cfeba'!D49)+ISNUMBER('79287892b1d7'!D49)+ISNUMBER('1b3f96535b56'!D49),ISNUMBER('1ae03038ed69'!D49)+ISNUMBER('1572eb063e5c'!D49)+ISNUMBER(b6ea66d78823!D49)+ISNUMBER('6d8dcb722ca4'!D49)+ISNUMBER('9306b30af184'!D49)+ISNUMBER('3b760aaeab13'!D49)+ISNUMBER(b2f4402deaee!D49)+ISNUMBER('1c4d314e87cd'!D49)+ISNUMBER(acd4708edfe6!D49)+ISNUMBER('9a32b1f50fb5'!D49)+ISNUMBER('2df562aa32e7'!D49)+ISNUMBER('3a5a3c04bd9d'!D49)+ISNUMBER('192241189337'!D49)+ISNUMBER('23a0423d7f40'!D49)+ISNUMBER('096252bb3796'!D49)+ISNUMBER(a53d1c7f9645!D49)+ISNUMBER('283d32631463'!D49)+ISNUMBER('1a542cfbf2c5'!D49)+ISNUMBER(cf262786a0e1!D49)+ISNUMBER('4b9efdeaeb40'!D49)+ISNUMBER('66fab14edc4c'!D49)+ISNUMBER(d9a84a7879b5!D49)+ISNUMBER(caf2b28627a3!D49)+ISNUMBER('602e9d1875d1'!D49)+ISNUMBER(f168037f7f37!D49)+ISNUMBER(eb071de1ab08!D49)+ISNUMBER('7b3bd85715a4'!D49)+ISNUMBER(e2a9b537c609!D49)+ISNUMBER(f97457958ce9!D49)+ISNUMBER('281fcc7d7eae'!D49)+ISNUMBER('01454b1cfeba'!D49)+ISNUMBER('79287892b1d7'!D49)+ISNUMBER('1b3f96535b56'!D49),"")</f>
        <v>1</v>
      </c>
      <c r="I36" s="18" t="str">
        <f>IF(ISNUMBER('1ae03038ed69'!E49)+ISNUMBER('1572eb063e5c'!E49)+ISNUMBER(b6ea66d78823!E49)+ISNUMBER('6d8dcb722ca4'!E49)+ISNUMBER('9306b30af184'!E49)+ISNUMBER('3b760aaeab13'!E49)+ISNUMBER(b2f4402deaee!E49)+ISNUMBER('1c4d314e87cd'!E49)+ISNUMBER(acd4708edfe6!E49)+ISNUMBER('9a32b1f50fb5'!E49)+ISNUMBER('2df562aa32e7'!E49)+ISNUMBER('3a5a3c04bd9d'!E49)+ISNUMBER('192241189337'!E49)+ISNUMBER('23a0423d7f40'!E49)+ISNUMBER('096252bb3796'!E49)+ISNUMBER(a53d1c7f9645!E49)+ISNUMBER('283d32631463'!E49)+ISNUMBER('1a542cfbf2c5'!E49)+ISNUMBER(cf262786a0e1!E49)+ISNUMBER('4b9efdeaeb40'!E49)+ISNUMBER('66fab14edc4c'!E49)+ISNUMBER(d9a84a7879b5!E49)+ISNUMBER(caf2b28627a3!E49)+ISNUMBER('602e9d1875d1'!E49)+ISNUMBER(f168037f7f37!E49)+ISNUMBER(eb071de1ab08!E49)+ISNUMBER('7b3bd85715a4'!E49)+ISNUMBER(e2a9b537c609!E49)+ISNUMBER(f97457958ce9!E49)+ISNUMBER('281fcc7d7eae'!E49)+ISNUMBER('01454b1cfeba'!E49)+ISNUMBER('79287892b1d7'!E49)+ISNUMBER('1b3f96535b56'!E49),ISNUMBER('1ae03038ed69'!E49)+ISNUMBER('1572eb063e5c'!E49)+ISNUMBER(b6ea66d78823!E49)+ISNUMBER('6d8dcb722ca4'!E49)+ISNUMBER('9306b30af184'!E49)+ISNUMBER('3b760aaeab13'!E49)+ISNUMBER(b2f4402deaee!E49)+ISNUMBER('1c4d314e87cd'!E49)+ISNUMBER(acd4708edfe6!E49)+ISNUMBER('9a32b1f50fb5'!E49)+ISNUMBER('2df562aa32e7'!E49)+ISNUMBER('3a5a3c04bd9d'!E49)+ISNUMBER('192241189337'!E49)+ISNUMBER('23a0423d7f40'!E49)+ISNUMBER('096252bb3796'!E49)+ISNUMBER(a53d1c7f9645!E49)+ISNUMBER('283d32631463'!E49)+ISNUMBER('1a542cfbf2c5'!E49)+ISNUMBER(cf262786a0e1!E49)+ISNUMBER('4b9efdeaeb40'!E49)+ISNUMBER('66fab14edc4c'!E49)+ISNUMBER(d9a84a7879b5!E49)+ISNUMBER(caf2b28627a3!E49)+ISNUMBER('602e9d1875d1'!E49)+ISNUMBER(f168037f7f37!E49)+ISNUMBER(eb071de1ab08!E49)+ISNUMBER('7b3bd85715a4'!E49)+ISNUMBER(e2a9b537c609!E49)+ISNUMBER(f97457958ce9!E49)+ISNUMBER('281fcc7d7eae'!E49)+ISNUMBER('01454b1cfeba'!E49)+ISNUMBER('79287892b1d7'!E49)+ISNUMBER('1b3f96535b56'!E49),"")</f>
        <v/>
      </c>
      <c r="J36" s="18" t="str">
        <f>IF(ISNUMBER('1ae03038ed69'!F49)+ISNUMBER('1572eb063e5c'!F49)+ISNUMBER(b6ea66d78823!F49)+ISNUMBER('6d8dcb722ca4'!F49)+ISNUMBER('9306b30af184'!F49)+ISNUMBER('3b760aaeab13'!F49)+ISNUMBER(b2f4402deaee!F49)+ISNUMBER('1c4d314e87cd'!F49)+ISNUMBER(acd4708edfe6!F49)+ISNUMBER('9a32b1f50fb5'!F49)+ISNUMBER('2df562aa32e7'!F49)+ISNUMBER('3a5a3c04bd9d'!F49)+ISNUMBER('192241189337'!F49)+ISNUMBER('23a0423d7f40'!F49)+ISNUMBER('096252bb3796'!F49)+ISNUMBER(a53d1c7f9645!F49)+ISNUMBER('283d32631463'!F49)+ISNUMBER('1a542cfbf2c5'!F49)+ISNUMBER(cf262786a0e1!F49)+ISNUMBER('4b9efdeaeb40'!F49)+ISNUMBER('66fab14edc4c'!F49)+ISNUMBER(d9a84a7879b5!F49)+ISNUMBER(caf2b28627a3!F49)+ISNUMBER('602e9d1875d1'!F49)+ISNUMBER(f168037f7f37!F49)+ISNUMBER(eb071de1ab08!F49)+ISNUMBER('7b3bd85715a4'!F49)+ISNUMBER(e2a9b537c609!F49)+ISNUMBER(f97457958ce9!F49)+ISNUMBER('281fcc7d7eae'!F49)+ISNUMBER('01454b1cfeba'!F49)+ISNUMBER('79287892b1d7'!F49)+ISNUMBER('1b3f96535b56'!F49),ISNUMBER('1ae03038ed69'!F49)+ISNUMBER('1572eb063e5c'!F49)+ISNUMBER(b6ea66d78823!F49)+ISNUMBER('6d8dcb722ca4'!F49)+ISNUMBER('9306b30af184'!F49)+ISNUMBER('3b760aaeab13'!F49)+ISNUMBER(b2f4402deaee!F49)+ISNUMBER('1c4d314e87cd'!F49)+ISNUMBER(acd4708edfe6!F49)+ISNUMBER('9a32b1f50fb5'!F49)+ISNUMBER('2df562aa32e7'!F49)+ISNUMBER('3a5a3c04bd9d'!F49)+ISNUMBER('192241189337'!F49)+ISNUMBER('23a0423d7f40'!F49)+ISNUMBER('096252bb3796'!F49)+ISNUMBER(a53d1c7f9645!F49)+ISNUMBER('283d32631463'!F49)+ISNUMBER('1a542cfbf2c5'!F49)+ISNUMBER(cf262786a0e1!F49)+ISNUMBER('4b9efdeaeb40'!F49)+ISNUMBER('66fab14edc4c'!F49)+ISNUMBER(d9a84a7879b5!F49)+ISNUMBER(caf2b28627a3!F49)+ISNUMBER('602e9d1875d1'!F49)+ISNUMBER(f168037f7f37!F49)+ISNUMBER(eb071de1ab08!F49)+ISNUMBER('7b3bd85715a4'!F49)+ISNUMBER(e2a9b537c609!F49)+ISNUMBER(f97457958ce9!F49)+ISNUMBER('281fcc7d7eae'!F49)+ISNUMBER('01454b1cfeba'!F49)+ISNUMBER('79287892b1d7'!F49)+ISNUMBER('1b3f96535b56'!F49),"")</f>
        <v/>
      </c>
      <c r="K36" s="17">
        <f>IF(ISNUMBER('1ae03038ed69'!G49)+ISNUMBER('1572eb063e5c'!G49)+ISNUMBER(b6ea66d78823!G49)+ISNUMBER('6d8dcb722ca4'!G49)+ISNUMBER('9306b30af184'!G49)+ISNUMBER('3b760aaeab13'!G49)+ISNUMBER(b2f4402deaee!G49)+ISNUMBER('1c4d314e87cd'!G49)+ISNUMBER(acd4708edfe6!G49)+ISNUMBER('9a32b1f50fb5'!G49)+ISNUMBER('2df562aa32e7'!G49)+ISNUMBER('3a5a3c04bd9d'!G49)+ISNUMBER('192241189337'!G49)+ISNUMBER('23a0423d7f40'!G49)+ISNUMBER('096252bb3796'!G49)+ISNUMBER(a53d1c7f9645!G49)+ISNUMBER('283d32631463'!G49)+ISNUMBER('1a542cfbf2c5'!G49)+ISNUMBER(cf262786a0e1!G49)+ISNUMBER('4b9efdeaeb40'!G49)+ISNUMBER('66fab14edc4c'!G49)+ISNUMBER(d9a84a7879b5!G49)+ISNUMBER(caf2b28627a3!G49)+ISNUMBER('602e9d1875d1'!G49)+ISNUMBER(f168037f7f37!G49)+ISNUMBER(eb071de1ab08!G49)+ISNUMBER('7b3bd85715a4'!G49)+ISNUMBER(e2a9b537c609!G49)+ISNUMBER(f97457958ce9!G49)+ISNUMBER('281fcc7d7eae'!G49)+ISNUMBER('01454b1cfeba'!G49)+ISNUMBER('79287892b1d7'!G49)+ISNUMBER('1b3f96535b56'!G49),ISNUMBER('1ae03038ed69'!G49)+ISNUMBER('1572eb063e5c'!G49)+ISNUMBER(b6ea66d78823!G49)+ISNUMBER('6d8dcb722ca4'!G49)+ISNUMBER('9306b30af184'!G49)+ISNUMBER('3b760aaeab13'!G49)+ISNUMBER(b2f4402deaee!G49)+ISNUMBER('1c4d314e87cd'!G49)+ISNUMBER(acd4708edfe6!G49)+ISNUMBER('9a32b1f50fb5'!G49)+ISNUMBER('2df562aa32e7'!G49)+ISNUMBER('3a5a3c04bd9d'!G49)+ISNUMBER('192241189337'!G49)+ISNUMBER('23a0423d7f40'!G49)+ISNUMBER('096252bb3796'!G49)+ISNUMBER(a53d1c7f9645!G49)+ISNUMBER('283d32631463'!G49)+ISNUMBER('1a542cfbf2c5'!G49)+ISNUMBER(cf262786a0e1!G49)+ISNUMBER('4b9efdeaeb40'!G49)+ISNUMBER('66fab14edc4c'!G49)+ISNUMBER(d9a84a7879b5!G49)+ISNUMBER(caf2b28627a3!G49)+ISNUMBER('602e9d1875d1'!G49)+ISNUMBER(f168037f7f37!G49)+ISNUMBER(eb071de1ab08!G49)+ISNUMBER('7b3bd85715a4'!G49)+ISNUMBER(e2a9b537c609!G49)+ISNUMBER(f97457958ce9!G49)+ISNUMBER('281fcc7d7eae'!G49)+ISNUMBER('01454b1cfeba'!G49)+ISNUMBER('79287892b1d7'!G49)+ISNUMBER('1b3f96535b56'!G49),"")</f>
        <v>4</v>
      </c>
      <c r="L36" s="17" t="str">
        <f>IF(ISNUMBER('1ae03038ed69'!H49)+ISNUMBER('1572eb063e5c'!H49)+ISNUMBER(b6ea66d78823!H49)+ISNUMBER('6d8dcb722ca4'!H49)+ISNUMBER('9306b30af184'!H49)+ISNUMBER('3b760aaeab13'!H49)+ISNUMBER(b2f4402deaee!H49)+ISNUMBER('1c4d314e87cd'!H49)+ISNUMBER(acd4708edfe6!H49)+ISNUMBER('9a32b1f50fb5'!H49)+ISNUMBER('2df562aa32e7'!H49)+ISNUMBER('3a5a3c04bd9d'!H49)+ISNUMBER('192241189337'!H49)+ISNUMBER('23a0423d7f40'!H49)+ISNUMBER('096252bb3796'!H49)+ISNUMBER(a53d1c7f9645!H49)+ISNUMBER('283d32631463'!H49)+ISNUMBER('1a542cfbf2c5'!H49)+ISNUMBER(cf262786a0e1!H49)+ISNUMBER('4b9efdeaeb40'!H49)+ISNUMBER('66fab14edc4c'!H49)+ISNUMBER(d9a84a7879b5!H49)+ISNUMBER(caf2b28627a3!H49)+ISNUMBER('602e9d1875d1'!H49)+ISNUMBER(f168037f7f37!H49)+ISNUMBER(eb071de1ab08!H49)+ISNUMBER('7b3bd85715a4'!H49)+ISNUMBER(e2a9b537c609!H49)+ISNUMBER(f97457958ce9!H49)+ISNUMBER('281fcc7d7eae'!H49)+ISNUMBER('01454b1cfeba'!H49)+ISNUMBER('79287892b1d7'!H49)+ISNUMBER('1b3f96535b56'!H49),ISNUMBER('1ae03038ed69'!H49)+ISNUMBER('1572eb063e5c'!H49)+ISNUMBER(b6ea66d78823!H49)+ISNUMBER('6d8dcb722ca4'!H49)+ISNUMBER('9306b30af184'!H49)+ISNUMBER('3b760aaeab13'!H49)+ISNUMBER(b2f4402deaee!H49)+ISNUMBER('1c4d314e87cd'!H49)+ISNUMBER(acd4708edfe6!H49)+ISNUMBER('9a32b1f50fb5'!H49)+ISNUMBER('2df562aa32e7'!H49)+ISNUMBER('3a5a3c04bd9d'!H49)+ISNUMBER('192241189337'!H49)+ISNUMBER('23a0423d7f40'!H49)+ISNUMBER('096252bb3796'!H49)+ISNUMBER(a53d1c7f9645!H49)+ISNUMBER('283d32631463'!H49)+ISNUMBER('1a542cfbf2c5'!H49)+ISNUMBER(cf262786a0e1!H49)+ISNUMBER('4b9efdeaeb40'!H49)+ISNUMBER('66fab14edc4c'!H49)+ISNUMBER(d9a84a7879b5!H49)+ISNUMBER(caf2b28627a3!H49)+ISNUMBER('602e9d1875d1'!H49)+ISNUMBER(f168037f7f37!H49)+ISNUMBER(eb071de1ab08!H49)+ISNUMBER('7b3bd85715a4'!H49)+ISNUMBER(e2a9b537c609!H49)+ISNUMBER(f97457958ce9!H49)+ISNUMBER('281fcc7d7eae'!H49)+ISNUMBER('01454b1cfeba'!H49)+ISNUMBER('79287892b1d7'!H49)+ISNUMBER('1b3f96535b56'!H49),"")</f>
        <v/>
      </c>
      <c r="M36" s="18">
        <f>IF(ISNUMBER('1ae03038ed69'!I49)+ISNUMBER('1572eb063e5c'!I49)+ISNUMBER(b6ea66d78823!I49)+ISNUMBER('6d8dcb722ca4'!I49)+ISNUMBER('9306b30af184'!I49)+ISNUMBER('3b760aaeab13'!I49)+ISNUMBER(b2f4402deaee!I49)+ISNUMBER('1c4d314e87cd'!I49)+ISNUMBER(acd4708edfe6!I49)+ISNUMBER('9a32b1f50fb5'!I49)+ISNUMBER('2df562aa32e7'!I49)+ISNUMBER('3a5a3c04bd9d'!I49)+ISNUMBER('192241189337'!I49)+ISNUMBER('23a0423d7f40'!I49)+ISNUMBER('096252bb3796'!I49)+ISNUMBER(a53d1c7f9645!I49)+ISNUMBER('283d32631463'!I49)+ISNUMBER('1a542cfbf2c5'!I49)+ISNUMBER(cf262786a0e1!I49)+ISNUMBER('4b9efdeaeb40'!I49)+ISNUMBER('66fab14edc4c'!I49)+ISNUMBER(d9a84a7879b5!I49)+ISNUMBER(caf2b28627a3!I49)+ISNUMBER('602e9d1875d1'!I49)+ISNUMBER(f168037f7f37!I49)+ISNUMBER(eb071de1ab08!I49)+ISNUMBER('7b3bd85715a4'!I49)+ISNUMBER(e2a9b537c609!I49)+ISNUMBER(f97457958ce9!I49)+ISNUMBER('281fcc7d7eae'!I49)+ISNUMBER('01454b1cfeba'!I49)+ISNUMBER('79287892b1d7'!I49)+ISNUMBER('1b3f96535b56'!I49),ISNUMBER('1ae03038ed69'!I49)+ISNUMBER('1572eb063e5c'!I49)+ISNUMBER(b6ea66d78823!I49)+ISNUMBER('6d8dcb722ca4'!I49)+ISNUMBER('9306b30af184'!I49)+ISNUMBER('3b760aaeab13'!I49)+ISNUMBER(b2f4402deaee!I49)+ISNUMBER('1c4d314e87cd'!I49)+ISNUMBER(acd4708edfe6!I49)+ISNUMBER('9a32b1f50fb5'!I49)+ISNUMBER('2df562aa32e7'!I49)+ISNUMBER('3a5a3c04bd9d'!I49)+ISNUMBER('192241189337'!I49)+ISNUMBER('23a0423d7f40'!I49)+ISNUMBER('096252bb3796'!I49)+ISNUMBER(a53d1c7f9645!I49)+ISNUMBER('283d32631463'!I49)+ISNUMBER('1a542cfbf2c5'!I49)+ISNUMBER(cf262786a0e1!I49)+ISNUMBER('4b9efdeaeb40'!I49)+ISNUMBER('66fab14edc4c'!I49)+ISNUMBER(d9a84a7879b5!I49)+ISNUMBER(caf2b28627a3!I49)+ISNUMBER('602e9d1875d1'!I49)+ISNUMBER(f168037f7f37!I49)+ISNUMBER(eb071de1ab08!I49)+ISNUMBER('7b3bd85715a4'!I49)+ISNUMBER(e2a9b537c609!I49)+ISNUMBER(f97457958ce9!I49)+ISNUMBER('281fcc7d7eae'!I49)+ISNUMBER('01454b1cfeba'!I49)+ISNUMBER('79287892b1d7'!I49)+ISNUMBER('1b3f96535b56'!I49),"")</f>
        <v>7</v>
      </c>
      <c r="N36" s="18" t="str">
        <f>IF(ISNUMBER('1ae03038ed69'!J49)+ISNUMBER('1572eb063e5c'!J49)+ISNUMBER(b6ea66d78823!J49)+ISNUMBER('6d8dcb722ca4'!J49)+ISNUMBER('9306b30af184'!J49)+ISNUMBER('3b760aaeab13'!J49)+ISNUMBER(b2f4402deaee!J49)+ISNUMBER('1c4d314e87cd'!J49)+ISNUMBER(acd4708edfe6!J49)+ISNUMBER('9a32b1f50fb5'!J49)+ISNUMBER('2df562aa32e7'!J49)+ISNUMBER('3a5a3c04bd9d'!J49)+ISNUMBER('192241189337'!J49)+ISNUMBER('23a0423d7f40'!J49)+ISNUMBER('096252bb3796'!J49)+ISNUMBER(a53d1c7f9645!J49)+ISNUMBER('283d32631463'!J49)+ISNUMBER('1a542cfbf2c5'!J49)+ISNUMBER(cf262786a0e1!J49)+ISNUMBER('4b9efdeaeb40'!J49)+ISNUMBER('66fab14edc4c'!J49)+ISNUMBER(d9a84a7879b5!J49)+ISNUMBER(caf2b28627a3!J49)+ISNUMBER('602e9d1875d1'!J49)+ISNUMBER(f168037f7f37!J49)+ISNUMBER(eb071de1ab08!J49)+ISNUMBER('7b3bd85715a4'!J49)+ISNUMBER(e2a9b537c609!J49)+ISNUMBER(f97457958ce9!J49)+ISNUMBER('281fcc7d7eae'!J49)+ISNUMBER('01454b1cfeba'!J49)+ISNUMBER('79287892b1d7'!J49)+ISNUMBER('1b3f96535b56'!J49),ISNUMBER('1ae03038ed69'!J49)+ISNUMBER('1572eb063e5c'!J49)+ISNUMBER(b6ea66d78823!J49)+ISNUMBER('6d8dcb722ca4'!J49)+ISNUMBER('9306b30af184'!J49)+ISNUMBER('3b760aaeab13'!J49)+ISNUMBER(b2f4402deaee!J49)+ISNUMBER('1c4d314e87cd'!J49)+ISNUMBER(acd4708edfe6!J49)+ISNUMBER('9a32b1f50fb5'!J49)+ISNUMBER('2df562aa32e7'!J49)+ISNUMBER('3a5a3c04bd9d'!J49)+ISNUMBER('192241189337'!J49)+ISNUMBER('23a0423d7f40'!J49)+ISNUMBER('096252bb3796'!J49)+ISNUMBER(a53d1c7f9645!J49)+ISNUMBER('283d32631463'!J49)+ISNUMBER('1a542cfbf2c5'!J49)+ISNUMBER(cf262786a0e1!J49)+ISNUMBER('4b9efdeaeb40'!J49)+ISNUMBER('66fab14edc4c'!J49)+ISNUMBER(d9a84a7879b5!J49)+ISNUMBER(caf2b28627a3!J49)+ISNUMBER('602e9d1875d1'!J49)+ISNUMBER(f168037f7f37!J49)+ISNUMBER(eb071de1ab08!J49)+ISNUMBER('7b3bd85715a4'!J49)+ISNUMBER(e2a9b537c609!J49)+ISNUMBER(f97457958ce9!J49)+ISNUMBER('281fcc7d7eae'!J49)+ISNUMBER('01454b1cfeba'!J49)+ISNUMBER('79287892b1d7'!J49)+ISNUMBER('1b3f96535b56'!J49),"")</f>
        <v/>
      </c>
      <c r="O36" s="17" t="str">
        <f>IF(ISNUMBER('1ae03038ed69'!K49)+ISNUMBER('1572eb063e5c'!K49)+ISNUMBER(b6ea66d78823!K49)+ISNUMBER('6d8dcb722ca4'!K49)+ISNUMBER('9306b30af184'!K49)+ISNUMBER('3b760aaeab13'!K49)+ISNUMBER(b2f4402deaee!K49)+ISNUMBER('1c4d314e87cd'!K49)+ISNUMBER(acd4708edfe6!K49)+ISNUMBER('9a32b1f50fb5'!K49)+ISNUMBER('2df562aa32e7'!K49)+ISNUMBER('3a5a3c04bd9d'!K49)+ISNUMBER('192241189337'!K49)+ISNUMBER('23a0423d7f40'!K49)+ISNUMBER('096252bb3796'!K49)+ISNUMBER(a53d1c7f9645!K49)+ISNUMBER('283d32631463'!K49)+ISNUMBER('1a542cfbf2c5'!K49)+ISNUMBER(cf262786a0e1!K49)+ISNUMBER('4b9efdeaeb40'!K49)+ISNUMBER('66fab14edc4c'!K49)+ISNUMBER(d9a84a7879b5!K49)+ISNUMBER(caf2b28627a3!K49)+ISNUMBER('602e9d1875d1'!K49)+ISNUMBER(f168037f7f37!K49)+ISNUMBER(eb071de1ab08!K49)+ISNUMBER('7b3bd85715a4'!K49)+ISNUMBER(e2a9b537c609!K49)+ISNUMBER(f97457958ce9!K49)+ISNUMBER('281fcc7d7eae'!K49)+ISNUMBER('01454b1cfeba'!K49)+ISNUMBER('79287892b1d7'!K49)+ISNUMBER('1b3f96535b56'!K49),ISNUMBER('1ae03038ed69'!K49)+ISNUMBER('1572eb063e5c'!K49)+ISNUMBER(b6ea66d78823!K49)+ISNUMBER('6d8dcb722ca4'!K49)+ISNUMBER('9306b30af184'!K49)+ISNUMBER('3b760aaeab13'!K49)+ISNUMBER(b2f4402deaee!K49)+ISNUMBER('1c4d314e87cd'!K49)+ISNUMBER(acd4708edfe6!K49)+ISNUMBER('9a32b1f50fb5'!K49)+ISNUMBER('2df562aa32e7'!K49)+ISNUMBER('3a5a3c04bd9d'!K49)+ISNUMBER('192241189337'!K49)+ISNUMBER('23a0423d7f40'!K49)+ISNUMBER('096252bb3796'!K49)+ISNUMBER(a53d1c7f9645!K49)+ISNUMBER('283d32631463'!K49)+ISNUMBER('1a542cfbf2c5'!K49)+ISNUMBER(cf262786a0e1!K49)+ISNUMBER('4b9efdeaeb40'!K49)+ISNUMBER('66fab14edc4c'!K49)+ISNUMBER(d9a84a7879b5!K49)+ISNUMBER(caf2b28627a3!K49)+ISNUMBER('602e9d1875d1'!K49)+ISNUMBER(f168037f7f37!K49)+ISNUMBER(eb071de1ab08!K49)+ISNUMBER('7b3bd85715a4'!K49)+ISNUMBER(e2a9b537c609!K49)+ISNUMBER(f97457958ce9!K49)+ISNUMBER('281fcc7d7eae'!K49)+ISNUMBER('01454b1cfeba'!K49)+ISNUMBER('79287892b1d7'!K49)+ISNUMBER('1b3f96535b56'!K49),"")</f>
        <v/>
      </c>
      <c r="P36" s="17" t="str">
        <f>IF(ISNUMBER('1ae03038ed69'!L49)+ISNUMBER('1572eb063e5c'!L49)+ISNUMBER(b6ea66d78823!L49)+ISNUMBER('6d8dcb722ca4'!L49)+ISNUMBER('9306b30af184'!L49)+ISNUMBER('3b760aaeab13'!L49)+ISNUMBER(b2f4402deaee!L49)+ISNUMBER('1c4d314e87cd'!L49)+ISNUMBER(acd4708edfe6!L49)+ISNUMBER('9a32b1f50fb5'!L49)+ISNUMBER('2df562aa32e7'!L49)+ISNUMBER('3a5a3c04bd9d'!L49)+ISNUMBER('192241189337'!L49)+ISNUMBER('23a0423d7f40'!L49)+ISNUMBER('096252bb3796'!L49)+ISNUMBER(a53d1c7f9645!L49)+ISNUMBER('283d32631463'!L49)+ISNUMBER('1a542cfbf2c5'!L49)+ISNUMBER(cf262786a0e1!L49)+ISNUMBER('4b9efdeaeb40'!L49)+ISNUMBER('66fab14edc4c'!L49)+ISNUMBER(d9a84a7879b5!L49)+ISNUMBER(caf2b28627a3!L49)+ISNUMBER('602e9d1875d1'!L49)+ISNUMBER(f168037f7f37!L49)+ISNUMBER(eb071de1ab08!L49)+ISNUMBER('7b3bd85715a4'!L49)+ISNUMBER(e2a9b537c609!L49)+ISNUMBER(f97457958ce9!L49)+ISNUMBER('281fcc7d7eae'!L49)+ISNUMBER('01454b1cfeba'!L49)+ISNUMBER('79287892b1d7'!L49)+ISNUMBER('1b3f96535b56'!L49),ISNUMBER('1ae03038ed69'!L49)+ISNUMBER('1572eb063e5c'!L49)+ISNUMBER(b6ea66d78823!L49)+ISNUMBER('6d8dcb722ca4'!L49)+ISNUMBER('9306b30af184'!L49)+ISNUMBER('3b760aaeab13'!L49)+ISNUMBER(b2f4402deaee!L49)+ISNUMBER('1c4d314e87cd'!L49)+ISNUMBER(acd4708edfe6!L49)+ISNUMBER('9a32b1f50fb5'!L49)+ISNUMBER('2df562aa32e7'!L49)+ISNUMBER('3a5a3c04bd9d'!L49)+ISNUMBER('192241189337'!L49)+ISNUMBER('23a0423d7f40'!L49)+ISNUMBER('096252bb3796'!L49)+ISNUMBER(a53d1c7f9645!L49)+ISNUMBER('283d32631463'!L49)+ISNUMBER('1a542cfbf2c5'!L49)+ISNUMBER(cf262786a0e1!L49)+ISNUMBER('4b9efdeaeb40'!L49)+ISNUMBER('66fab14edc4c'!L49)+ISNUMBER(d9a84a7879b5!L49)+ISNUMBER(caf2b28627a3!L49)+ISNUMBER('602e9d1875d1'!L49)+ISNUMBER(f168037f7f37!L49)+ISNUMBER(eb071de1ab08!L49)+ISNUMBER('7b3bd85715a4'!L49)+ISNUMBER(e2a9b537c609!L49)+ISNUMBER(f97457958ce9!L49)+ISNUMBER('281fcc7d7eae'!L49)+ISNUMBER('01454b1cfeba'!L49)+ISNUMBER('79287892b1d7'!L49)+ISNUMBER('1b3f96535b56'!L49),"")</f>
        <v/>
      </c>
      <c r="Q36" s="18" t="str">
        <f>IF(ISNUMBER('1ae03038ed69'!M49)+ISNUMBER('1572eb063e5c'!M49)+ISNUMBER(b6ea66d78823!M49)+ISNUMBER('6d8dcb722ca4'!M49)+ISNUMBER('9306b30af184'!M49)+ISNUMBER('3b760aaeab13'!M49)+ISNUMBER(b2f4402deaee!M49)+ISNUMBER('1c4d314e87cd'!M49)+ISNUMBER(acd4708edfe6!M49)+ISNUMBER('9a32b1f50fb5'!M49)+ISNUMBER('2df562aa32e7'!M49)+ISNUMBER('3a5a3c04bd9d'!M49)+ISNUMBER('192241189337'!M49)+ISNUMBER('23a0423d7f40'!M49)+ISNUMBER('096252bb3796'!M49)+ISNUMBER(a53d1c7f9645!M49)+ISNUMBER('283d32631463'!M49)+ISNUMBER('1a542cfbf2c5'!M49)+ISNUMBER(cf262786a0e1!M49)+ISNUMBER('4b9efdeaeb40'!M49)+ISNUMBER('66fab14edc4c'!M49)+ISNUMBER(d9a84a7879b5!M49)+ISNUMBER(caf2b28627a3!M49)+ISNUMBER('602e9d1875d1'!M49)+ISNUMBER(f168037f7f37!M49)+ISNUMBER(eb071de1ab08!M49)+ISNUMBER('7b3bd85715a4'!M49)+ISNUMBER(e2a9b537c609!M49)+ISNUMBER(f97457958ce9!M49)+ISNUMBER('281fcc7d7eae'!M49)+ISNUMBER('01454b1cfeba'!M49)+ISNUMBER('79287892b1d7'!M49)+ISNUMBER('1b3f96535b56'!M49),ISNUMBER('1ae03038ed69'!M49)+ISNUMBER('1572eb063e5c'!M49)+ISNUMBER(b6ea66d78823!M49)+ISNUMBER('6d8dcb722ca4'!M49)+ISNUMBER('9306b30af184'!M49)+ISNUMBER('3b760aaeab13'!M49)+ISNUMBER(b2f4402deaee!M49)+ISNUMBER('1c4d314e87cd'!M49)+ISNUMBER(acd4708edfe6!M49)+ISNUMBER('9a32b1f50fb5'!M49)+ISNUMBER('2df562aa32e7'!M49)+ISNUMBER('3a5a3c04bd9d'!M49)+ISNUMBER('192241189337'!M49)+ISNUMBER('23a0423d7f40'!M49)+ISNUMBER('096252bb3796'!M49)+ISNUMBER(a53d1c7f9645!M49)+ISNUMBER('283d32631463'!M49)+ISNUMBER('1a542cfbf2c5'!M49)+ISNUMBER(cf262786a0e1!M49)+ISNUMBER('4b9efdeaeb40'!M49)+ISNUMBER('66fab14edc4c'!M49)+ISNUMBER(d9a84a7879b5!M49)+ISNUMBER(caf2b28627a3!M49)+ISNUMBER('602e9d1875d1'!M49)+ISNUMBER(f168037f7f37!M49)+ISNUMBER(eb071de1ab08!M49)+ISNUMBER('7b3bd85715a4'!M49)+ISNUMBER(e2a9b537c609!M49)+ISNUMBER(f97457958ce9!M49)+ISNUMBER('281fcc7d7eae'!M49)+ISNUMBER('01454b1cfeba'!M49)+ISNUMBER('79287892b1d7'!M49)+ISNUMBER('1b3f96535b56'!M49),"")</f>
        <v/>
      </c>
      <c r="R36" s="18" t="str">
        <f>IF(ISNUMBER('1ae03038ed69'!N49)+ISNUMBER('1572eb063e5c'!N49)+ISNUMBER(b6ea66d78823!N49)+ISNUMBER('6d8dcb722ca4'!N49)+ISNUMBER('9306b30af184'!N49)+ISNUMBER('3b760aaeab13'!N49)+ISNUMBER(b2f4402deaee!N49)+ISNUMBER('1c4d314e87cd'!N49)+ISNUMBER(acd4708edfe6!N49)+ISNUMBER('9a32b1f50fb5'!N49)+ISNUMBER('2df562aa32e7'!N49)+ISNUMBER('3a5a3c04bd9d'!N49)+ISNUMBER('192241189337'!N49)+ISNUMBER('23a0423d7f40'!N49)+ISNUMBER('096252bb3796'!N49)+ISNUMBER(a53d1c7f9645!N49)+ISNUMBER('283d32631463'!N49)+ISNUMBER('1a542cfbf2c5'!N49)+ISNUMBER(cf262786a0e1!N49)+ISNUMBER('4b9efdeaeb40'!N49)+ISNUMBER('66fab14edc4c'!N49)+ISNUMBER(d9a84a7879b5!N49)+ISNUMBER(caf2b28627a3!N49)+ISNUMBER('602e9d1875d1'!N49)+ISNUMBER(f168037f7f37!N49)+ISNUMBER(eb071de1ab08!N49)+ISNUMBER('7b3bd85715a4'!N49)+ISNUMBER(e2a9b537c609!N49)+ISNUMBER(f97457958ce9!N49)+ISNUMBER('281fcc7d7eae'!N49)+ISNUMBER('01454b1cfeba'!N49)+ISNUMBER('79287892b1d7'!N49)+ISNUMBER('1b3f96535b56'!N49),ISNUMBER('1ae03038ed69'!N49)+ISNUMBER('1572eb063e5c'!N49)+ISNUMBER(b6ea66d78823!N49)+ISNUMBER('6d8dcb722ca4'!N49)+ISNUMBER('9306b30af184'!N49)+ISNUMBER('3b760aaeab13'!N49)+ISNUMBER(b2f4402deaee!N49)+ISNUMBER('1c4d314e87cd'!N49)+ISNUMBER(acd4708edfe6!N49)+ISNUMBER('9a32b1f50fb5'!N49)+ISNUMBER('2df562aa32e7'!N49)+ISNUMBER('3a5a3c04bd9d'!N49)+ISNUMBER('192241189337'!N49)+ISNUMBER('23a0423d7f40'!N49)+ISNUMBER('096252bb3796'!N49)+ISNUMBER(a53d1c7f9645!N49)+ISNUMBER('283d32631463'!N49)+ISNUMBER('1a542cfbf2c5'!N49)+ISNUMBER(cf262786a0e1!N49)+ISNUMBER('4b9efdeaeb40'!N49)+ISNUMBER('66fab14edc4c'!N49)+ISNUMBER(d9a84a7879b5!N49)+ISNUMBER(caf2b28627a3!N49)+ISNUMBER('602e9d1875d1'!N49)+ISNUMBER(f168037f7f37!N49)+ISNUMBER(eb071de1ab08!N49)+ISNUMBER('7b3bd85715a4'!N49)+ISNUMBER(e2a9b537c609!N49)+ISNUMBER(f97457958ce9!N49)+ISNUMBER('281fcc7d7eae'!N49)+ISNUMBER('01454b1cfeba'!N49)+ISNUMBER('79287892b1d7'!N49)+ISNUMBER('1b3f96535b56'!N49),"")</f>
        <v/>
      </c>
      <c r="U36" t="s">
        <v>77</v>
      </c>
      <c r="V36" t="s">
        <v>78</v>
      </c>
    </row>
    <row r="37" spans="6:22" ht="15.75" customHeight="1">
      <c r="F37" s="16" t="str">
        <f>F21</f>
        <v>Mobility…</v>
      </c>
      <c r="G37" s="17" t="str">
        <f>IF(ISNUMBER('1ae03038ed69'!C50)+ISNUMBER('1572eb063e5c'!C50)+ISNUMBER(b6ea66d78823!C50)+ISNUMBER('6d8dcb722ca4'!C50)+ISNUMBER('9306b30af184'!C50)+ISNUMBER('3b760aaeab13'!C50)+ISNUMBER(b2f4402deaee!C50)+ISNUMBER('1c4d314e87cd'!C50)+ISNUMBER(acd4708edfe6!C50)+ISNUMBER('9a32b1f50fb5'!C50)+ISNUMBER('2df562aa32e7'!C50)+ISNUMBER('3a5a3c04bd9d'!C50)+ISNUMBER('192241189337'!C50)+ISNUMBER('23a0423d7f40'!C50)+ISNUMBER('096252bb3796'!C50)+ISNUMBER(a53d1c7f9645!C50)+ISNUMBER('283d32631463'!C50)+ISNUMBER('1a542cfbf2c5'!C50)+ISNUMBER(cf262786a0e1!C50)+ISNUMBER('4b9efdeaeb40'!C50)+ISNUMBER('66fab14edc4c'!C50)+ISNUMBER(d9a84a7879b5!C50)+ISNUMBER(caf2b28627a3!C50)+ISNUMBER('602e9d1875d1'!C50)+ISNUMBER(f168037f7f37!C50)+ISNUMBER(eb071de1ab08!C50)+ISNUMBER('7b3bd85715a4'!C50)+ISNUMBER(e2a9b537c609!C50)+ISNUMBER(f97457958ce9!C50)+ISNUMBER('281fcc7d7eae'!C50)+ISNUMBER('01454b1cfeba'!C50)+ISNUMBER('79287892b1d7'!C50)+ISNUMBER('1b3f96535b56'!C50),ISNUMBER('1ae03038ed69'!C50)+ISNUMBER('1572eb063e5c'!C50)+ISNUMBER(b6ea66d78823!C50)+ISNUMBER('6d8dcb722ca4'!C50)+ISNUMBER('9306b30af184'!C50)+ISNUMBER('3b760aaeab13'!C50)+ISNUMBER(b2f4402deaee!C50)+ISNUMBER('1c4d314e87cd'!C50)+ISNUMBER(acd4708edfe6!C50)+ISNUMBER('9a32b1f50fb5'!C50)+ISNUMBER('2df562aa32e7'!C50)+ISNUMBER('3a5a3c04bd9d'!C50)+ISNUMBER('192241189337'!C50)+ISNUMBER('23a0423d7f40'!C50)+ISNUMBER('096252bb3796'!C50)+ISNUMBER(a53d1c7f9645!C50)+ISNUMBER('283d32631463'!C50)+ISNUMBER('1a542cfbf2c5'!C50)+ISNUMBER(cf262786a0e1!C50)+ISNUMBER('4b9efdeaeb40'!C50)+ISNUMBER('66fab14edc4c'!C50)+ISNUMBER(d9a84a7879b5!C50)+ISNUMBER(caf2b28627a3!C50)+ISNUMBER('602e9d1875d1'!C50)+ISNUMBER(f168037f7f37!C50)+ISNUMBER(eb071de1ab08!C50)+ISNUMBER('7b3bd85715a4'!C50)+ISNUMBER(e2a9b537c609!C50)+ISNUMBER(f97457958ce9!C50)+ISNUMBER('281fcc7d7eae'!C50)+ISNUMBER('01454b1cfeba'!C50)+ISNUMBER('79287892b1d7'!C50)+ISNUMBER('1b3f96535b56'!C50),"")</f>
        <v/>
      </c>
      <c r="H37" s="17" t="str">
        <f>IF(ISNUMBER('1ae03038ed69'!D50)+ISNUMBER('1572eb063e5c'!D50)+ISNUMBER(b6ea66d78823!D50)+ISNUMBER('6d8dcb722ca4'!D50)+ISNUMBER('9306b30af184'!D50)+ISNUMBER('3b760aaeab13'!D50)+ISNUMBER(b2f4402deaee!D50)+ISNUMBER('1c4d314e87cd'!D50)+ISNUMBER(acd4708edfe6!D50)+ISNUMBER('9a32b1f50fb5'!D50)+ISNUMBER('2df562aa32e7'!D50)+ISNUMBER('3a5a3c04bd9d'!D50)+ISNUMBER('192241189337'!D50)+ISNUMBER('23a0423d7f40'!D50)+ISNUMBER('096252bb3796'!D50)+ISNUMBER(a53d1c7f9645!D50)+ISNUMBER('283d32631463'!D50)+ISNUMBER('1a542cfbf2c5'!D50)+ISNUMBER(cf262786a0e1!D50)+ISNUMBER('4b9efdeaeb40'!D50)+ISNUMBER('66fab14edc4c'!D50)+ISNUMBER(d9a84a7879b5!D50)+ISNUMBER(caf2b28627a3!D50)+ISNUMBER('602e9d1875d1'!D50)+ISNUMBER(f168037f7f37!D50)+ISNUMBER(eb071de1ab08!D50)+ISNUMBER('7b3bd85715a4'!D50)+ISNUMBER(e2a9b537c609!D50)+ISNUMBER(f97457958ce9!D50)+ISNUMBER('281fcc7d7eae'!D50)+ISNUMBER('01454b1cfeba'!D50)+ISNUMBER('79287892b1d7'!D50)+ISNUMBER('1b3f96535b56'!D50),ISNUMBER('1ae03038ed69'!D50)+ISNUMBER('1572eb063e5c'!D50)+ISNUMBER(b6ea66d78823!D50)+ISNUMBER('6d8dcb722ca4'!D50)+ISNUMBER('9306b30af184'!D50)+ISNUMBER('3b760aaeab13'!D50)+ISNUMBER(b2f4402deaee!D50)+ISNUMBER('1c4d314e87cd'!D50)+ISNUMBER(acd4708edfe6!D50)+ISNUMBER('9a32b1f50fb5'!D50)+ISNUMBER('2df562aa32e7'!D50)+ISNUMBER('3a5a3c04bd9d'!D50)+ISNUMBER('192241189337'!D50)+ISNUMBER('23a0423d7f40'!D50)+ISNUMBER('096252bb3796'!D50)+ISNUMBER(a53d1c7f9645!D50)+ISNUMBER('283d32631463'!D50)+ISNUMBER('1a542cfbf2c5'!D50)+ISNUMBER(cf262786a0e1!D50)+ISNUMBER('4b9efdeaeb40'!D50)+ISNUMBER('66fab14edc4c'!D50)+ISNUMBER(d9a84a7879b5!D50)+ISNUMBER(caf2b28627a3!D50)+ISNUMBER('602e9d1875d1'!D50)+ISNUMBER(f168037f7f37!D50)+ISNUMBER(eb071de1ab08!D50)+ISNUMBER('7b3bd85715a4'!D50)+ISNUMBER(e2a9b537c609!D50)+ISNUMBER(f97457958ce9!D50)+ISNUMBER('281fcc7d7eae'!D50)+ISNUMBER('01454b1cfeba'!D50)+ISNUMBER('79287892b1d7'!D50)+ISNUMBER('1b3f96535b56'!D50),"")</f>
        <v/>
      </c>
      <c r="I37" s="18" t="str">
        <f>IF(ISNUMBER('1ae03038ed69'!E50)+ISNUMBER('1572eb063e5c'!E50)+ISNUMBER(b6ea66d78823!E50)+ISNUMBER('6d8dcb722ca4'!E50)+ISNUMBER('9306b30af184'!E50)+ISNUMBER('3b760aaeab13'!E50)+ISNUMBER(b2f4402deaee!E50)+ISNUMBER('1c4d314e87cd'!E50)+ISNUMBER(acd4708edfe6!E50)+ISNUMBER('9a32b1f50fb5'!E50)+ISNUMBER('2df562aa32e7'!E50)+ISNUMBER('3a5a3c04bd9d'!E50)+ISNUMBER('192241189337'!E50)+ISNUMBER('23a0423d7f40'!E50)+ISNUMBER('096252bb3796'!E50)+ISNUMBER(a53d1c7f9645!E50)+ISNUMBER('283d32631463'!E50)+ISNUMBER('1a542cfbf2c5'!E50)+ISNUMBER(cf262786a0e1!E50)+ISNUMBER('4b9efdeaeb40'!E50)+ISNUMBER('66fab14edc4c'!E50)+ISNUMBER(d9a84a7879b5!E50)+ISNUMBER(caf2b28627a3!E50)+ISNUMBER('602e9d1875d1'!E50)+ISNUMBER(f168037f7f37!E50)+ISNUMBER(eb071de1ab08!E50)+ISNUMBER('7b3bd85715a4'!E50)+ISNUMBER(e2a9b537c609!E50)+ISNUMBER(f97457958ce9!E50)+ISNUMBER('281fcc7d7eae'!E50)+ISNUMBER('01454b1cfeba'!E50)+ISNUMBER('79287892b1d7'!E50)+ISNUMBER('1b3f96535b56'!E50),ISNUMBER('1ae03038ed69'!E50)+ISNUMBER('1572eb063e5c'!E50)+ISNUMBER(b6ea66d78823!E50)+ISNUMBER('6d8dcb722ca4'!E50)+ISNUMBER('9306b30af184'!E50)+ISNUMBER('3b760aaeab13'!E50)+ISNUMBER(b2f4402deaee!E50)+ISNUMBER('1c4d314e87cd'!E50)+ISNUMBER(acd4708edfe6!E50)+ISNUMBER('9a32b1f50fb5'!E50)+ISNUMBER('2df562aa32e7'!E50)+ISNUMBER('3a5a3c04bd9d'!E50)+ISNUMBER('192241189337'!E50)+ISNUMBER('23a0423d7f40'!E50)+ISNUMBER('096252bb3796'!E50)+ISNUMBER(a53d1c7f9645!E50)+ISNUMBER('283d32631463'!E50)+ISNUMBER('1a542cfbf2c5'!E50)+ISNUMBER(cf262786a0e1!E50)+ISNUMBER('4b9efdeaeb40'!E50)+ISNUMBER('66fab14edc4c'!E50)+ISNUMBER(d9a84a7879b5!E50)+ISNUMBER(caf2b28627a3!E50)+ISNUMBER('602e9d1875d1'!E50)+ISNUMBER(f168037f7f37!E50)+ISNUMBER(eb071de1ab08!E50)+ISNUMBER('7b3bd85715a4'!E50)+ISNUMBER(e2a9b537c609!E50)+ISNUMBER(f97457958ce9!E50)+ISNUMBER('281fcc7d7eae'!E50)+ISNUMBER('01454b1cfeba'!E50)+ISNUMBER('79287892b1d7'!E50)+ISNUMBER('1b3f96535b56'!E50),"")</f>
        <v/>
      </c>
      <c r="J37" s="18" t="str">
        <f>IF(ISNUMBER('1ae03038ed69'!F50)+ISNUMBER('1572eb063e5c'!F50)+ISNUMBER(b6ea66d78823!F50)+ISNUMBER('6d8dcb722ca4'!F50)+ISNUMBER('9306b30af184'!F50)+ISNUMBER('3b760aaeab13'!F50)+ISNUMBER(b2f4402deaee!F50)+ISNUMBER('1c4d314e87cd'!F50)+ISNUMBER(acd4708edfe6!F50)+ISNUMBER('9a32b1f50fb5'!F50)+ISNUMBER('2df562aa32e7'!F50)+ISNUMBER('3a5a3c04bd9d'!F50)+ISNUMBER('192241189337'!F50)+ISNUMBER('23a0423d7f40'!F50)+ISNUMBER('096252bb3796'!F50)+ISNUMBER(a53d1c7f9645!F50)+ISNUMBER('283d32631463'!F50)+ISNUMBER('1a542cfbf2c5'!F50)+ISNUMBER(cf262786a0e1!F50)+ISNUMBER('4b9efdeaeb40'!F50)+ISNUMBER('66fab14edc4c'!F50)+ISNUMBER(d9a84a7879b5!F50)+ISNUMBER(caf2b28627a3!F50)+ISNUMBER('602e9d1875d1'!F50)+ISNUMBER(f168037f7f37!F50)+ISNUMBER(eb071de1ab08!F50)+ISNUMBER('7b3bd85715a4'!F50)+ISNUMBER(e2a9b537c609!F50)+ISNUMBER(f97457958ce9!F50)+ISNUMBER('281fcc7d7eae'!F50)+ISNUMBER('01454b1cfeba'!F50)+ISNUMBER('79287892b1d7'!F50)+ISNUMBER('1b3f96535b56'!F50),ISNUMBER('1ae03038ed69'!F50)+ISNUMBER('1572eb063e5c'!F50)+ISNUMBER(b6ea66d78823!F50)+ISNUMBER('6d8dcb722ca4'!F50)+ISNUMBER('9306b30af184'!F50)+ISNUMBER('3b760aaeab13'!F50)+ISNUMBER(b2f4402deaee!F50)+ISNUMBER('1c4d314e87cd'!F50)+ISNUMBER(acd4708edfe6!F50)+ISNUMBER('9a32b1f50fb5'!F50)+ISNUMBER('2df562aa32e7'!F50)+ISNUMBER('3a5a3c04bd9d'!F50)+ISNUMBER('192241189337'!F50)+ISNUMBER('23a0423d7f40'!F50)+ISNUMBER('096252bb3796'!F50)+ISNUMBER(a53d1c7f9645!F50)+ISNUMBER('283d32631463'!F50)+ISNUMBER('1a542cfbf2c5'!F50)+ISNUMBER(cf262786a0e1!F50)+ISNUMBER('4b9efdeaeb40'!F50)+ISNUMBER('66fab14edc4c'!F50)+ISNUMBER(d9a84a7879b5!F50)+ISNUMBER(caf2b28627a3!F50)+ISNUMBER('602e9d1875d1'!F50)+ISNUMBER(f168037f7f37!F50)+ISNUMBER(eb071de1ab08!F50)+ISNUMBER('7b3bd85715a4'!F50)+ISNUMBER(e2a9b537c609!F50)+ISNUMBER(f97457958ce9!F50)+ISNUMBER('281fcc7d7eae'!F50)+ISNUMBER('01454b1cfeba'!F50)+ISNUMBER('79287892b1d7'!F50)+ISNUMBER('1b3f96535b56'!F50),"")</f>
        <v/>
      </c>
      <c r="K37" s="17" t="str">
        <f>IF(ISNUMBER('1ae03038ed69'!G50)+ISNUMBER('1572eb063e5c'!G50)+ISNUMBER(b6ea66d78823!G50)+ISNUMBER('6d8dcb722ca4'!G50)+ISNUMBER('9306b30af184'!G50)+ISNUMBER('3b760aaeab13'!G50)+ISNUMBER(b2f4402deaee!G50)+ISNUMBER('1c4d314e87cd'!G50)+ISNUMBER(acd4708edfe6!G50)+ISNUMBER('9a32b1f50fb5'!G50)+ISNUMBER('2df562aa32e7'!G50)+ISNUMBER('3a5a3c04bd9d'!G50)+ISNUMBER('192241189337'!G50)+ISNUMBER('23a0423d7f40'!G50)+ISNUMBER('096252bb3796'!G50)+ISNUMBER(a53d1c7f9645!G50)+ISNUMBER('283d32631463'!G50)+ISNUMBER('1a542cfbf2c5'!G50)+ISNUMBER(cf262786a0e1!G50)+ISNUMBER('4b9efdeaeb40'!G50)+ISNUMBER('66fab14edc4c'!G50)+ISNUMBER(d9a84a7879b5!G50)+ISNUMBER(caf2b28627a3!G50)+ISNUMBER('602e9d1875d1'!G50)+ISNUMBER(f168037f7f37!G50)+ISNUMBER(eb071de1ab08!G50)+ISNUMBER('7b3bd85715a4'!G50)+ISNUMBER(e2a9b537c609!G50)+ISNUMBER(f97457958ce9!G50)+ISNUMBER('281fcc7d7eae'!G50)+ISNUMBER('01454b1cfeba'!G50)+ISNUMBER('79287892b1d7'!G50)+ISNUMBER('1b3f96535b56'!G50),ISNUMBER('1ae03038ed69'!G50)+ISNUMBER('1572eb063e5c'!G50)+ISNUMBER(b6ea66d78823!G50)+ISNUMBER('6d8dcb722ca4'!G50)+ISNUMBER('9306b30af184'!G50)+ISNUMBER('3b760aaeab13'!G50)+ISNUMBER(b2f4402deaee!G50)+ISNUMBER('1c4d314e87cd'!G50)+ISNUMBER(acd4708edfe6!G50)+ISNUMBER('9a32b1f50fb5'!G50)+ISNUMBER('2df562aa32e7'!G50)+ISNUMBER('3a5a3c04bd9d'!G50)+ISNUMBER('192241189337'!G50)+ISNUMBER('23a0423d7f40'!G50)+ISNUMBER('096252bb3796'!G50)+ISNUMBER(a53d1c7f9645!G50)+ISNUMBER('283d32631463'!G50)+ISNUMBER('1a542cfbf2c5'!G50)+ISNUMBER(cf262786a0e1!G50)+ISNUMBER('4b9efdeaeb40'!G50)+ISNUMBER('66fab14edc4c'!G50)+ISNUMBER(d9a84a7879b5!G50)+ISNUMBER(caf2b28627a3!G50)+ISNUMBER('602e9d1875d1'!G50)+ISNUMBER(f168037f7f37!G50)+ISNUMBER(eb071de1ab08!G50)+ISNUMBER('7b3bd85715a4'!G50)+ISNUMBER(e2a9b537c609!G50)+ISNUMBER(f97457958ce9!G50)+ISNUMBER('281fcc7d7eae'!G50)+ISNUMBER('01454b1cfeba'!G50)+ISNUMBER('79287892b1d7'!G50)+ISNUMBER('1b3f96535b56'!G50),"")</f>
        <v/>
      </c>
      <c r="L37" s="17" t="str">
        <f>IF(ISNUMBER('1ae03038ed69'!H50)+ISNUMBER('1572eb063e5c'!H50)+ISNUMBER(b6ea66d78823!H50)+ISNUMBER('6d8dcb722ca4'!H50)+ISNUMBER('9306b30af184'!H50)+ISNUMBER('3b760aaeab13'!H50)+ISNUMBER(b2f4402deaee!H50)+ISNUMBER('1c4d314e87cd'!H50)+ISNUMBER(acd4708edfe6!H50)+ISNUMBER('9a32b1f50fb5'!H50)+ISNUMBER('2df562aa32e7'!H50)+ISNUMBER('3a5a3c04bd9d'!H50)+ISNUMBER('192241189337'!H50)+ISNUMBER('23a0423d7f40'!H50)+ISNUMBER('096252bb3796'!H50)+ISNUMBER(a53d1c7f9645!H50)+ISNUMBER('283d32631463'!H50)+ISNUMBER('1a542cfbf2c5'!H50)+ISNUMBER(cf262786a0e1!H50)+ISNUMBER('4b9efdeaeb40'!H50)+ISNUMBER('66fab14edc4c'!H50)+ISNUMBER(d9a84a7879b5!H50)+ISNUMBER(caf2b28627a3!H50)+ISNUMBER('602e9d1875d1'!H50)+ISNUMBER(f168037f7f37!H50)+ISNUMBER(eb071de1ab08!H50)+ISNUMBER('7b3bd85715a4'!H50)+ISNUMBER(e2a9b537c609!H50)+ISNUMBER(f97457958ce9!H50)+ISNUMBER('281fcc7d7eae'!H50)+ISNUMBER('01454b1cfeba'!H50)+ISNUMBER('79287892b1d7'!H50)+ISNUMBER('1b3f96535b56'!H50),ISNUMBER('1ae03038ed69'!H50)+ISNUMBER('1572eb063e5c'!H50)+ISNUMBER(b6ea66d78823!H50)+ISNUMBER('6d8dcb722ca4'!H50)+ISNUMBER('9306b30af184'!H50)+ISNUMBER('3b760aaeab13'!H50)+ISNUMBER(b2f4402deaee!H50)+ISNUMBER('1c4d314e87cd'!H50)+ISNUMBER(acd4708edfe6!H50)+ISNUMBER('9a32b1f50fb5'!H50)+ISNUMBER('2df562aa32e7'!H50)+ISNUMBER('3a5a3c04bd9d'!H50)+ISNUMBER('192241189337'!H50)+ISNUMBER('23a0423d7f40'!H50)+ISNUMBER('096252bb3796'!H50)+ISNUMBER(a53d1c7f9645!H50)+ISNUMBER('283d32631463'!H50)+ISNUMBER('1a542cfbf2c5'!H50)+ISNUMBER(cf262786a0e1!H50)+ISNUMBER('4b9efdeaeb40'!H50)+ISNUMBER('66fab14edc4c'!H50)+ISNUMBER(d9a84a7879b5!H50)+ISNUMBER(caf2b28627a3!H50)+ISNUMBER('602e9d1875d1'!H50)+ISNUMBER(f168037f7f37!H50)+ISNUMBER(eb071de1ab08!H50)+ISNUMBER('7b3bd85715a4'!H50)+ISNUMBER(e2a9b537c609!H50)+ISNUMBER(f97457958ce9!H50)+ISNUMBER('281fcc7d7eae'!H50)+ISNUMBER('01454b1cfeba'!H50)+ISNUMBER('79287892b1d7'!H50)+ISNUMBER('1b3f96535b56'!H50),"")</f>
        <v/>
      </c>
      <c r="M37" s="18" t="str">
        <f>IF(ISNUMBER('1ae03038ed69'!I50)+ISNUMBER('1572eb063e5c'!I50)+ISNUMBER(b6ea66d78823!I50)+ISNUMBER('6d8dcb722ca4'!I50)+ISNUMBER('9306b30af184'!I50)+ISNUMBER('3b760aaeab13'!I50)+ISNUMBER(b2f4402deaee!I50)+ISNUMBER('1c4d314e87cd'!I50)+ISNUMBER(acd4708edfe6!I50)+ISNUMBER('9a32b1f50fb5'!I50)+ISNUMBER('2df562aa32e7'!I50)+ISNUMBER('3a5a3c04bd9d'!I50)+ISNUMBER('192241189337'!I50)+ISNUMBER('23a0423d7f40'!I50)+ISNUMBER('096252bb3796'!I50)+ISNUMBER(a53d1c7f9645!I50)+ISNUMBER('283d32631463'!I50)+ISNUMBER('1a542cfbf2c5'!I50)+ISNUMBER(cf262786a0e1!I50)+ISNUMBER('4b9efdeaeb40'!I50)+ISNUMBER('66fab14edc4c'!I50)+ISNUMBER(d9a84a7879b5!I50)+ISNUMBER(caf2b28627a3!I50)+ISNUMBER('602e9d1875d1'!I50)+ISNUMBER(f168037f7f37!I50)+ISNUMBER(eb071de1ab08!I50)+ISNUMBER('7b3bd85715a4'!I50)+ISNUMBER(e2a9b537c609!I50)+ISNUMBER(f97457958ce9!I50)+ISNUMBER('281fcc7d7eae'!I50)+ISNUMBER('01454b1cfeba'!I50)+ISNUMBER('79287892b1d7'!I50)+ISNUMBER('1b3f96535b56'!I50),ISNUMBER('1ae03038ed69'!I50)+ISNUMBER('1572eb063e5c'!I50)+ISNUMBER(b6ea66d78823!I50)+ISNUMBER('6d8dcb722ca4'!I50)+ISNUMBER('9306b30af184'!I50)+ISNUMBER('3b760aaeab13'!I50)+ISNUMBER(b2f4402deaee!I50)+ISNUMBER('1c4d314e87cd'!I50)+ISNUMBER(acd4708edfe6!I50)+ISNUMBER('9a32b1f50fb5'!I50)+ISNUMBER('2df562aa32e7'!I50)+ISNUMBER('3a5a3c04bd9d'!I50)+ISNUMBER('192241189337'!I50)+ISNUMBER('23a0423d7f40'!I50)+ISNUMBER('096252bb3796'!I50)+ISNUMBER(a53d1c7f9645!I50)+ISNUMBER('283d32631463'!I50)+ISNUMBER('1a542cfbf2c5'!I50)+ISNUMBER(cf262786a0e1!I50)+ISNUMBER('4b9efdeaeb40'!I50)+ISNUMBER('66fab14edc4c'!I50)+ISNUMBER(d9a84a7879b5!I50)+ISNUMBER(caf2b28627a3!I50)+ISNUMBER('602e9d1875d1'!I50)+ISNUMBER(f168037f7f37!I50)+ISNUMBER(eb071de1ab08!I50)+ISNUMBER('7b3bd85715a4'!I50)+ISNUMBER(e2a9b537c609!I50)+ISNUMBER(f97457958ce9!I50)+ISNUMBER('281fcc7d7eae'!I50)+ISNUMBER('01454b1cfeba'!I50)+ISNUMBER('79287892b1d7'!I50)+ISNUMBER('1b3f96535b56'!I50),"")</f>
        <v/>
      </c>
      <c r="N37" s="18" t="str">
        <f>IF(ISNUMBER('1ae03038ed69'!J50)+ISNUMBER('1572eb063e5c'!J50)+ISNUMBER(b6ea66d78823!J50)+ISNUMBER('6d8dcb722ca4'!J50)+ISNUMBER('9306b30af184'!J50)+ISNUMBER('3b760aaeab13'!J50)+ISNUMBER(b2f4402deaee!J50)+ISNUMBER('1c4d314e87cd'!J50)+ISNUMBER(acd4708edfe6!J50)+ISNUMBER('9a32b1f50fb5'!J50)+ISNUMBER('2df562aa32e7'!J50)+ISNUMBER('3a5a3c04bd9d'!J50)+ISNUMBER('192241189337'!J50)+ISNUMBER('23a0423d7f40'!J50)+ISNUMBER('096252bb3796'!J50)+ISNUMBER(a53d1c7f9645!J50)+ISNUMBER('283d32631463'!J50)+ISNUMBER('1a542cfbf2c5'!J50)+ISNUMBER(cf262786a0e1!J50)+ISNUMBER('4b9efdeaeb40'!J50)+ISNUMBER('66fab14edc4c'!J50)+ISNUMBER(d9a84a7879b5!J50)+ISNUMBER(caf2b28627a3!J50)+ISNUMBER('602e9d1875d1'!J50)+ISNUMBER(f168037f7f37!J50)+ISNUMBER(eb071de1ab08!J50)+ISNUMBER('7b3bd85715a4'!J50)+ISNUMBER(e2a9b537c609!J50)+ISNUMBER(f97457958ce9!J50)+ISNUMBER('281fcc7d7eae'!J50)+ISNUMBER('01454b1cfeba'!J50)+ISNUMBER('79287892b1d7'!J50)+ISNUMBER('1b3f96535b56'!J50),ISNUMBER('1ae03038ed69'!J50)+ISNUMBER('1572eb063e5c'!J50)+ISNUMBER(b6ea66d78823!J50)+ISNUMBER('6d8dcb722ca4'!J50)+ISNUMBER('9306b30af184'!J50)+ISNUMBER('3b760aaeab13'!J50)+ISNUMBER(b2f4402deaee!J50)+ISNUMBER('1c4d314e87cd'!J50)+ISNUMBER(acd4708edfe6!J50)+ISNUMBER('9a32b1f50fb5'!J50)+ISNUMBER('2df562aa32e7'!J50)+ISNUMBER('3a5a3c04bd9d'!J50)+ISNUMBER('192241189337'!J50)+ISNUMBER('23a0423d7f40'!J50)+ISNUMBER('096252bb3796'!J50)+ISNUMBER(a53d1c7f9645!J50)+ISNUMBER('283d32631463'!J50)+ISNUMBER('1a542cfbf2c5'!J50)+ISNUMBER(cf262786a0e1!J50)+ISNUMBER('4b9efdeaeb40'!J50)+ISNUMBER('66fab14edc4c'!J50)+ISNUMBER(d9a84a7879b5!J50)+ISNUMBER(caf2b28627a3!J50)+ISNUMBER('602e9d1875d1'!J50)+ISNUMBER(f168037f7f37!J50)+ISNUMBER(eb071de1ab08!J50)+ISNUMBER('7b3bd85715a4'!J50)+ISNUMBER(e2a9b537c609!J50)+ISNUMBER(f97457958ce9!J50)+ISNUMBER('281fcc7d7eae'!J50)+ISNUMBER('01454b1cfeba'!J50)+ISNUMBER('79287892b1d7'!J50)+ISNUMBER('1b3f96535b56'!J50),"")</f>
        <v/>
      </c>
      <c r="O37" s="17" t="str">
        <f>IF(ISNUMBER('1ae03038ed69'!K50)+ISNUMBER('1572eb063e5c'!K50)+ISNUMBER(b6ea66d78823!K50)+ISNUMBER('6d8dcb722ca4'!K50)+ISNUMBER('9306b30af184'!K50)+ISNUMBER('3b760aaeab13'!K50)+ISNUMBER(b2f4402deaee!K50)+ISNUMBER('1c4d314e87cd'!K50)+ISNUMBER(acd4708edfe6!K50)+ISNUMBER('9a32b1f50fb5'!K50)+ISNUMBER('2df562aa32e7'!K50)+ISNUMBER('3a5a3c04bd9d'!K50)+ISNUMBER('192241189337'!K50)+ISNUMBER('23a0423d7f40'!K50)+ISNUMBER('096252bb3796'!K50)+ISNUMBER(a53d1c7f9645!K50)+ISNUMBER('283d32631463'!K50)+ISNUMBER('1a542cfbf2c5'!K50)+ISNUMBER(cf262786a0e1!K50)+ISNUMBER('4b9efdeaeb40'!K50)+ISNUMBER('66fab14edc4c'!K50)+ISNUMBER(d9a84a7879b5!K50)+ISNUMBER(caf2b28627a3!K50)+ISNUMBER('602e9d1875d1'!K50)+ISNUMBER(f168037f7f37!K50)+ISNUMBER(eb071de1ab08!K50)+ISNUMBER('7b3bd85715a4'!K50)+ISNUMBER(e2a9b537c609!K50)+ISNUMBER(f97457958ce9!K50)+ISNUMBER('281fcc7d7eae'!K50)+ISNUMBER('01454b1cfeba'!K50)+ISNUMBER('79287892b1d7'!K50)+ISNUMBER('1b3f96535b56'!K50),ISNUMBER('1ae03038ed69'!K50)+ISNUMBER('1572eb063e5c'!K50)+ISNUMBER(b6ea66d78823!K50)+ISNUMBER('6d8dcb722ca4'!K50)+ISNUMBER('9306b30af184'!K50)+ISNUMBER('3b760aaeab13'!K50)+ISNUMBER(b2f4402deaee!K50)+ISNUMBER('1c4d314e87cd'!K50)+ISNUMBER(acd4708edfe6!K50)+ISNUMBER('9a32b1f50fb5'!K50)+ISNUMBER('2df562aa32e7'!K50)+ISNUMBER('3a5a3c04bd9d'!K50)+ISNUMBER('192241189337'!K50)+ISNUMBER('23a0423d7f40'!K50)+ISNUMBER('096252bb3796'!K50)+ISNUMBER(a53d1c7f9645!K50)+ISNUMBER('283d32631463'!K50)+ISNUMBER('1a542cfbf2c5'!K50)+ISNUMBER(cf262786a0e1!K50)+ISNUMBER('4b9efdeaeb40'!K50)+ISNUMBER('66fab14edc4c'!K50)+ISNUMBER(d9a84a7879b5!K50)+ISNUMBER(caf2b28627a3!K50)+ISNUMBER('602e9d1875d1'!K50)+ISNUMBER(f168037f7f37!K50)+ISNUMBER(eb071de1ab08!K50)+ISNUMBER('7b3bd85715a4'!K50)+ISNUMBER(e2a9b537c609!K50)+ISNUMBER(f97457958ce9!K50)+ISNUMBER('281fcc7d7eae'!K50)+ISNUMBER('01454b1cfeba'!K50)+ISNUMBER('79287892b1d7'!K50)+ISNUMBER('1b3f96535b56'!K50),"")</f>
        <v/>
      </c>
      <c r="P37" s="17" t="str">
        <f>IF(ISNUMBER('1ae03038ed69'!L50)+ISNUMBER('1572eb063e5c'!L50)+ISNUMBER(b6ea66d78823!L50)+ISNUMBER('6d8dcb722ca4'!L50)+ISNUMBER('9306b30af184'!L50)+ISNUMBER('3b760aaeab13'!L50)+ISNUMBER(b2f4402deaee!L50)+ISNUMBER('1c4d314e87cd'!L50)+ISNUMBER(acd4708edfe6!L50)+ISNUMBER('9a32b1f50fb5'!L50)+ISNUMBER('2df562aa32e7'!L50)+ISNUMBER('3a5a3c04bd9d'!L50)+ISNUMBER('192241189337'!L50)+ISNUMBER('23a0423d7f40'!L50)+ISNUMBER('096252bb3796'!L50)+ISNUMBER(a53d1c7f9645!L50)+ISNUMBER('283d32631463'!L50)+ISNUMBER('1a542cfbf2c5'!L50)+ISNUMBER(cf262786a0e1!L50)+ISNUMBER('4b9efdeaeb40'!L50)+ISNUMBER('66fab14edc4c'!L50)+ISNUMBER(d9a84a7879b5!L50)+ISNUMBER(caf2b28627a3!L50)+ISNUMBER('602e9d1875d1'!L50)+ISNUMBER(f168037f7f37!L50)+ISNUMBER(eb071de1ab08!L50)+ISNUMBER('7b3bd85715a4'!L50)+ISNUMBER(e2a9b537c609!L50)+ISNUMBER(f97457958ce9!L50)+ISNUMBER('281fcc7d7eae'!L50)+ISNUMBER('01454b1cfeba'!L50)+ISNUMBER('79287892b1d7'!L50)+ISNUMBER('1b3f96535b56'!L50),ISNUMBER('1ae03038ed69'!L50)+ISNUMBER('1572eb063e5c'!L50)+ISNUMBER(b6ea66d78823!L50)+ISNUMBER('6d8dcb722ca4'!L50)+ISNUMBER('9306b30af184'!L50)+ISNUMBER('3b760aaeab13'!L50)+ISNUMBER(b2f4402deaee!L50)+ISNUMBER('1c4d314e87cd'!L50)+ISNUMBER(acd4708edfe6!L50)+ISNUMBER('9a32b1f50fb5'!L50)+ISNUMBER('2df562aa32e7'!L50)+ISNUMBER('3a5a3c04bd9d'!L50)+ISNUMBER('192241189337'!L50)+ISNUMBER('23a0423d7f40'!L50)+ISNUMBER('096252bb3796'!L50)+ISNUMBER(a53d1c7f9645!L50)+ISNUMBER('283d32631463'!L50)+ISNUMBER('1a542cfbf2c5'!L50)+ISNUMBER(cf262786a0e1!L50)+ISNUMBER('4b9efdeaeb40'!L50)+ISNUMBER('66fab14edc4c'!L50)+ISNUMBER(d9a84a7879b5!L50)+ISNUMBER(caf2b28627a3!L50)+ISNUMBER('602e9d1875d1'!L50)+ISNUMBER(f168037f7f37!L50)+ISNUMBER(eb071de1ab08!L50)+ISNUMBER('7b3bd85715a4'!L50)+ISNUMBER(e2a9b537c609!L50)+ISNUMBER(f97457958ce9!L50)+ISNUMBER('281fcc7d7eae'!L50)+ISNUMBER('01454b1cfeba'!L50)+ISNUMBER('79287892b1d7'!L50)+ISNUMBER('1b3f96535b56'!L50),"")</f>
        <v/>
      </c>
      <c r="Q37" s="18" t="str">
        <f>IF(ISNUMBER('1ae03038ed69'!M50)+ISNUMBER('1572eb063e5c'!M50)+ISNUMBER(b6ea66d78823!M50)+ISNUMBER('6d8dcb722ca4'!M50)+ISNUMBER('9306b30af184'!M50)+ISNUMBER('3b760aaeab13'!M50)+ISNUMBER(b2f4402deaee!M50)+ISNUMBER('1c4d314e87cd'!M50)+ISNUMBER(acd4708edfe6!M50)+ISNUMBER('9a32b1f50fb5'!M50)+ISNUMBER('2df562aa32e7'!M50)+ISNUMBER('3a5a3c04bd9d'!M50)+ISNUMBER('192241189337'!M50)+ISNUMBER('23a0423d7f40'!M50)+ISNUMBER('096252bb3796'!M50)+ISNUMBER(a53d1c7f9645!M50)+ISNUMBER('283d32631463'!M50)+ISNUMBER('1a542cfbf2c5'!M50)+ISNUMBER(cf262786a0e1!M50)+ISNUMBER('4b9efdeaeb40'!M50)+ISNUMBER('66fab14edc4c'!M50)+ISNUMBER(d9a84a7879b5!M50)+ISNUMBER(caf2b28627a3!M50)+ISNUMBER('602e9d1875d1'!M50)+ISNUMBER(f168037f7f37!M50)+ISNUMBER(eb071de1ab08!M50)+ISNUMBER('7b3bd85715a4'!M50)+ISNUMBER(e2a9b537c609!M50)+ISNUMBER(f97457958ce9!M50)+ISNUMBER('281fcc7d7eae'!M50)+ISNUMBER('01454b1cfeba'!M50)+ISNUMBER('79287892b1d7'!M50)+ISNUMBER('1b3f96535b56'!M50),ISNUMBER('1ae03038ed69'!M50)+ISNUMBER('1572eb063e5c'!M50)+ISNUMBER(b6ea66d78823!M50)+ISNUMBER('6d8dcb722ca4'!M50)+ISNUMBER('9306b30af184'!M50)+ISNUMBER('3b760aaeab13'!M50)+ISNUMBER(b2f4402deaee!M50)+ISNUMBER('1c4d314e87cd'!M50)+ISNUMBER(acd4708edfe6!M50)+ISNUMBER('9a32b1f50fb5'!M50)+ISNUMBER('2df562aa32e7'!M50)+ISNUMBER('3a5a3c04bd9d'!M50)+ISNUMBER('192241189337'!M50)+ISNUMBER('23a0423d7f40'!M50)+ISNUMBER('096252bb3796'!M50)+ISNUMBER(a53d1c7f9645!M50)+ISNUMBER('283d32631463'!M50)+ISNUMBER('1a542cfbf2c5'!M50)+ISNUMBER(cf262786a0e1!M50)+ISNUMBER('4b9efdeaeb40'!M50)+ISNUMBER('66fab14edc4c'!M50)+ISNUMBER(d9a84a7879b5!M50)+ISNUMBER(caf2b28627a3!M50)+ISNUMBER('602e9d1875d1'!M50)+ISNUMBER(f168037f7f37!M50)+ISNUMBER(eb071de1ab08!M50)+ISNUMBER('7b3bd85715a4'!M50)+ISNUMBER(e2a9b537c609!M50)+ISNUMBER(f97457958ce9!M50)+ISNUMBER('281fcc7d7eae'!M50)+ISNUMBER('01454b1cfeba'!M50)+ISNUMBER('79287892b1d7'!M50)+ISNUMBER('1b3f96535b56'!M50),"")</f>
        <v/>
      </c>
      <c r="R37" s="18" t="str">
        <f>IF(ISNUMBER('1ae03038ed69'!N50)+ISNUMBER('1572eb063e5c'!N50)+ISNUMBER(b6ea66d78823!N50)+ISNUMBER('6d8dcb722ca4'!N50)+ISNUMBER('9306b30af184'!N50)+ISNUMBER('3b760aaeab13'!N50)+ISNUMBER(b2f4402deaee!N50)+ISNUMBER('1c4d314e87cd'!N50)+ISNUMBER(acd4708edfe6!N50)+ISNUMBER('9a32b1f50fb5'!N50)+ISNUMBER('2df562aa32e7'!N50)+ISNUMBER('3a5a3c04bd9d'!N50)+ISNUMBER('192241189337'!N50)+ISNUMBER('23a0423d7f40'!N50)+ISNUMBER('096252bb3796'!N50)+ISNUMBER(a53d1c7f9645!N50)+ISNUMBER('283d32631463'!N50)+ISNUMBER('1a542cfbf2c5'!N50)+ISNUMBER(cf262786a0e1!N50)+ISNUMBER('4b9efdeaeb40'!N50)+ISNUMBER('66fab14edc4c'!N50)+ISNUMBER(d9a84a7879b5!N50)+ISNUMBER(caf2b28627a3!N50)+ISNUMBER('602e9d1875d1'!N50)+ISNUMBER(f168037f7f37!N50)+ISNUMBER(eb071de1ab08!N50)+ISNUMBER('7b3bd85715a4'!N50)+ISNUMBER(e2a9b537c609!N50)+ISNUMBER(f97457958ce9!N50)+ISNUMBER('281fcc7d7eae'!N50)+ISNUMBER('01454b1cfeba'!N50)+ISNUMBER('79287892b1d7'!N50)+ISNUMBER('1b3f96535b56'!N50),ISNUMBER('1ae03038ed69'!N50)+ISNUMBER('1572eb063e5c'!N50)+ISNUMBER(b6ea66d78823!N50)+ISNUMBER('6d8dcb722ca4'!N50)+ISNUMBER('9306b30af184'!N50)+ISNUMBER('3b760aaeab13'!N50)+ISNUMBER(b2f4402deaee!N50)+ISNUMBER('1c4d314e87cd'!N50)+ISNUMBER(acd4708edfe6!N50)+ISNUMBER('9a32b1f50fb5'!N50)+ISNUMBER('2df562aa32e7'!N50)+ISNUMBER('3a5a3c04bd9d'!N50)+ISNUMBER('192241189337'!N50)+ISNUMBER('23a0423d7f40'!N50)+ISNUMBER('096252bb3796'!N50)+ISNUMBER(a53d1c7f9645!N50)+ISNUMBER('283d32631463'!N50)+ISNUMBER('1a542cfbf2c5'!N50)+ISNUMBER(cf262786a0e1!N50)+ISNUMBER('4b9efdeaeb40'!N50)+ISNUMBER('66fab14edc4c'!N50)+ISNUMBER(d9a84a7879b5!N50)+ISNUMBER(caf2b28627a3!N50)+ISNUMBER('602e9d1875d1'!N50)+ISNUMBER(f168037f7f37!N50)+ISNUMBER(eb071de1ab08!N50)+ISNUMBER('7b3bd85715a4'!N50)+ISNUMBER(e2a9b537c609!N50)+ISNUMBER(f97457958ce9!N50)+ISNUMBER('281fcc7d7eae'!N50)+ISNUMBER('01454b1cfeba'!N50)+ISNUMBER('79287892b1d7'!N50)+ISNUMBER('1b3f96535b56'!N50),"")</f>
        <v/>
      </c>
      <c r="U37" t="s">
        <v>79</v>
      </c>
      <c r="V37" t="s">
        <v>80</v>
      </c>
    </row>
    <row r="38" spans="6:22">
      <c r="U38" t="s">
        <v>81</v>
      </c>
      <c r="V38" t="s">
        <v>82</v>
      </c>
    </row>
    <row r="39" spans="6:22">
      <c r="U39" t="s">
        <v>83</v>
      </c>
      <c r="V39" t="s">
        <v>84</v>
      </c>
    </row>
    <row r="40" spans="6:22">
      <c r="U40" t="s">
        <v>85</v>
      </c>
      <c r="V40" t="s">
        <v>86</v>
      </c>
    </row>
    <row r="41" spans="6:22">
      <c r="U41" t="s">
        <v>87</v>
      </c>
      <c r="V41" t="s">
        <v>88</v>
      </c>
    </row>
  </sheetData>
  <mergeCells count="20">
    <mergeCell ref="I8:J8"/>
    <mergeCell ref="M8:N8"/>
    <mergeCell ref="O8:P8"/>
    <mergeCell ref="M24:N24"/>
    <mergeCell ref="B2:C2"/>
    <mergeCell ref="F8:F9"/>
    <mergeCell ref="B20:B22"/>
    <mergeCell ref="B16:B18"/>
    <mergeCell ref="G24:H24"/>
    <mergeCell ref="B12:B14"/>
    <mergeCell ref="F2:R2"/>
    <mergeCell ref="F24:F25"/>
    <mergeCell ref="K24:L24"/>
    <mergeCell ref="O24:P24"/>
    <mergeCell ref="Q24:R24"/>
    <mergeCell ref="G6:R6"/>
    <mergeCell ref="G8:H8"/>
    <mergeCell ref="Q8:R8"/>
    <mergeCell ref="K8:L8"/>
    <mergeCell ref="I24:J24"/>
  </mergeCells>
  <printOptions horizontalCentered="1" verticalCentered="1"/>
  <pageMargins left="0.25" right="0.25"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8CBAD"/>
  </sheetPr>
  <dimension ref="B1:C17"/>
  <sheetViews>
    <sheetView topLeftCell="A6" zoomScaleNormal="100" workbookViewId="0">
      <selection activeCell="M15" sqref="M15"/>
    </sheetView>
  </sheetViews>
  <sheetFormatPr defaultColWidth="8.7109375" defaultRowHeight="15"/>
  <cols>
    <col min="1" max="1" width="1.85546875" customWidth="1"/>
    <col min="2" max="2" width="11" customWidth="1"/>
    <col min="3" max="3" width="41.5703125" style="23" customWidth="1"/>
  </cols>
  <sheetData>
    <row r="1" spans="2:3" ht="15.75" customHeight="1">
      <c r="C1" s="24" t="s">
        <v>89</v>
      </c>
    </row>
    <row r="2" spans="2:3" ht="9.75" customHeight="1"/>
    <row r="3" spans="2:3" ht="15" customHeight="1">
      <c r="B3" s="25" t="s">
        <v>90</v>
      </c>
      <c r="C3" s="26" t="s">
        <v>91</v>
      </c>
    </row>
    <row r="4" spans="2:3" ht="30" customHeight="1">
      <c r="B4" s="27" t="s">
        <v>92</v>
      </c>
      <c r="C4" s="28" t="s">
        <v>93</v>
      </c>
    </row>
    <row r="5" spans="2:3" ht="15" customHeight="1">
      <c r="B5" s="29" t="s">
        <v>94</v>
      </c>
      <c r="C5" s="30" t="s">
        <v>95</v>
      </c>
    </row>
    <row r="6" spans="2:3" ht="30" customHeight="1">
      <c r="B6" s="63" t="s">
        <v>96</v>
      </c>
      <c r="C6" s="30" t="s">
        <v>97</v>
      </c>
    </row>
    <row r="7" spans="2:3" ht="45" customHeight="1">
      <c r="B7" s="86"/>
      <c r="C7" s="31" t="s">
        <v>98</v>
      </c>
    </row>
    <row r="8" spans="2:3" ht="15" customHeight="1">
      <c r="B8" s="29" t="s">
        <v>99</v>
      </c>
      <c r="C8" s="30" t="s">
        <v>100</v>
      </c>
    </row>
    <row r="9" spans="2:3" ht="30" customHeight="1">
      <c r="B9" s="29" t="s">
        <v>101</v>
      </c>
      <c r="C9" s="30" t="s">
        <v>102</v>
      </c>
    </row>
    <row r="10" spans="2:3" ht="15" customHeight="1">
      <c r="B10" s="32" t="s">
        <v>103</v>
      </c>
      <c r="C10" s="33" t="s">
        <v>104</v>
      </c>
    </row>
    <row r="11" spans="2:3" ht="9.75" customHeight="1"/>
    <row r="12" spans="2:3" ht="15" customHeight="1">
      <c r="B12" s="5" t="s">
        <v>105</v>
      </c>
      <c r="C12" s="34" t="s">
        <v>2</v>
      </c>
    </row>
    <row r="13" spans="2:3" ht="15" customHeight="1">
      <c r="B13" s="27" t="s">
        <v>106</v>
      </c>
      <c r="C13" s="35" t="s">
        <v>107</v>
      </c>
    </row>
    <row r="14" spans="2:3" ht="15" customHeight="1">
      <c r="B14" s="29" t="s">
        <v>108</v>
      </c>
      <c r="C14" s="36" t="s">
        <v>109</v>
      </c>
    </row>
    <row r="15" spans="2:3" ht="15" customHeight="1">
      <c r="B15" s="29" t="s">
        <v>110</v>
      </c>
      <c r="C15" s="36" t="s">
        <v>111</v>
      </c>
    </row>
    <row r="16" spans="2:3" ht="15" customHeight="1">
      <c r="B16" s="32" t="s">
        <v>112</v>
      </c>
      <c r="C16" s="37" t="s">
        <v>113</v>
      </c>
    </row>
    <row r="17" ht="9.75" customHeight="1"/>
  </sheetData>
  <mergeCells count="1">
    <mergeCell ref="B6:B7"/>
  </mergeCell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C7E7"/>
    <pageSetUpPr fitToPage="1"/>
  </sheetPr>
  <dimension ref="A1:AMJ23"/>
  <sheetViews>
    <sheetView showGridLines="0" zoomScaleNormal="100" workbookViewId="0">
      <selection activeCell="C8" sqref="C8"/>
    </sheetView>
  </sheetViews>
  <sheetFormatPr defaultColWidth="8.85546875" defaultRowHeight="15" zeroHeight="1"/>
  <cols>
    <col min="1" max="1" width="2.5703125" customWidth="1"/>
    <col min="2" max="2" width="29.28515625" customWidth="1"/>
    <col min="3" max="3" width="121.5703125" customWidth="1"/>
    <col min="4" max="4" width="44" hidden="1" customWidth="1"/>
    <col min="5" max="1024" width="8.85546875" hidden="1" customWidth="1"/>
  </cols>
  <sheetData>
    <row r="1" spans="1:3" ht="18.75" customHeight="1">
      <c r="A1" s="64" t="s">
        <v>114</v>
      </c>
      <c r="B1" s="81"/>
      <c r="C1" s="81"/>
    </row>
    <row r="2" spans="1:3" ht="15" customHeight="1">
      <c r="B2" s="45" t="s">
        <v>115</v>
      </c>
    </row>
    <row r="3" spans="1:3" ht="15" customHeight="1">
      <c r="A3" s="46" t="s">
        <v>116</v>
      </c>
      <c r="B3" s="47"/>
      <c r="C3" s="47"/>
    </row>
    <row r="4" spans="1:3" ht="36" customHeight="1">
      <c r="A4" s="47"/>
      <c r="B4" s="48" t="s">
        <v>9</v>
      </c>
      <c r="C4" s="49" t="s">
        <v>117</v>
      </c>
    </row>
    <row r="5" spans="1:3" ht="36" customHeight="1">
      <c r="A5" s="47"/>
      <c r="B5" s="48" t="s">
        <v>118</v>
      </c>
      <c r="C5" s="49" t="s">
        <v>119</v>
      </c>
    </row>
    <row r="6" spans="1:3" ht="36" customHeight="1">
      <c r="A6" s="47"/>
      <c r="B6" s="48" t="s">
        <v>11</v>
      </c>
      <c r="C6" s="49" t="s">
        <v>120</v>
      </c>
    </row>
    <row r="7" spans="1:3" ht="36" customHeight="1">
      <c r="A7" s="47"/>
      <c r="B7" s="48" t="s">
        <v>121</v>
      </c>
      <c r="C7" s="49" t="s">
        <v>122</v>
      </c>
    </row>
    <row r="8" spans="1:3" ht="49.5" customHeight="1">
      <c r="A8" s="47"/>
      <c r="B8" s="48" t="s">
        <v>123</v>
      </c>
      <c r="C8" s="49" t="s">
        <v>124</v>
      </c>
    </row>
    <row r="9" spans="1:3" ht="24" customHeight="1">
      <c r="A9" s="47"/>
      <c r="B9" s="48" t="s">
        <v>125</v>
      </c>
      <c r="C9" s="49" t="s">
        <v>126</v>
      </c>
    </row>
    <row r="10" spans="1:3" ht="15" customHeight="1">
      <c r="B10" s="50"/>
    </row>
    <row r="11" spans="1:3" ht="15" customHeight="1">
      <c r="A11" s="51" t="s">
        <v>127</v>
      </c>
      <c r="B11" s="52"/>
      <c r="C11" s="53"/>
    </row>
    <row r="12" spans="1:3" ht="24" customHeight="1">
      <c r="A12" s="53"/>
      <c r="B12" s="48" t="s">
        <v>128</v>
      </c>
      <c r="C12" s="49" t="s">
        <v>129</v>
      </c>
    </row>
    <row r="13" spans="1:3" ht="15" customHeight="1">
      <c r="A13" s="53"/>
      <c r="B13" s="48" t="s">
        <v>130</v>
      </c>
      <c r="C13" s="49" t="s">
        <v>131</v>
      </c>
    </row>
    <row r="14" spans="1:3" ht="36" customHeight="1">
      <c r="A14" s="53"/>
      <c r="B14" s="48" t="s">
        <v>132</v>
      </c>
      <c r="C14" s="49" t="s">
        <v>133</v>
      </c>
    </row>
    <row r="15" spans="1:3" ht="36" customHeight="1">
      <c r="A15" s="53"/>
      <c r="B15" s="48" t="s">
        <v>134</v>
      </c>
      <c r="C15" s="49" t="s">
        <v>135</v>
      </c>
    </row>
    <row r="16" spans="1:3" ht="24" customHeight="1">
      <c r="A16" s="53"/>
      <c r="B16" s="48" t="s">
        <v>136</v>
      </c>
      <c r="C16" s="49" t="s">
        <v>137</v>
      </c>
    </row>
    <row r="17" spans="1:3" ht="24" customHeight="1">
      <c r="A17" s="53"/>
      <c r="B17" s="48" t="s">
        <v>138</v>
      </c>
      <c r="C17" s="49" t="s">
        <v>139</v>
      </c>
    </row>
    <row r="18" spans="1:3" ht="24" customHeight="1">
      <c r="A18" s="53"/>
      <c r="B18" s="48" t="s">
        <v>140</v>
      </c>
      <c r="C18" s="49" t="s">
        <v>141</v>
      </c>
    </row>
    <row r="19" spans="1:3" ht="24" customHeight="1">
      <c r="A19" s="53"/>
      <c r="B19" s="48" t="s">
        <v>142</v>
      </c>
      <c r="C19" s="49" t="s">
        <v>143</v>
      </c>
    </row>
    <row r="20" spans="1:3" ht="24" customHeight="1">
      <c r="A20" s="53"/>
      <c r="B20" s="48" t="s">
        <v>144</v>
      </c>
      <c r="C20" s="49" t="s">
        <v>145</v>
      </c>
    </row>
    <row r="21" spans="1:3" ht="36" customHeight="1">
      <c r="A21" s="53"/>
      <c r="B21" s="48" t="s">
        <v>146</v>
      </c>
      <c r="C21" s="49" t="s">
        <v>147</v>
      </c>
    </row>
    <row r="22" spans="1:3" ht="24" customHeight="1">
      <c r="A22" s="53"/>
      <c r="B22" s="48" t="s">
        <v>148</v>
      </c>
      <c r="C22" s="49" t="s">
        <v>149</v>
      </c>
    </row>
    <row r="23" spans="1:3" ht="36" customHeight="1">
      <c r="A23" s="53"/>
      <c r="B23" s="48" t="s">
        <v>150</v>
      </c>
      <c r="C23" s="49" t="s">
        <v>151</v>
      </c>
    </row>
  </sheetData>
  <mergeCells count="1">
    <mergeCell ref="A1:C1"/>
  </mergeCells>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154</v>
      </c>
      <c r="D4" s="89"/>
      <c r="E4" s="89"/>
      <c r="F4" s="89"/>
      <c r="G4" s="89"/>
      <c r="H4" s="89"/>
      <c r="I4" s="89"/>
      <c r="J4" s="89"/>
      <c r="K4" s="89"/>
      <c r="L4" s="89"/>
      <c r="M4" s="89"/>
      <c r="N4" s="90"/>
    </row>
    <row r="5" spans="2:14" ht="15" customHeight="1">
      <c r="B5" s="38" t="s">
        <v>155</v>
      </c>
      <c r="C5" s="67" t="s">
        <v>21</v>
      </c>
      <c r="D5" s="82"/>
      <c r="E5" s="82"/>
      <c r="F5" s="82"/>
      <c r="G5" s="82"/>
      <c r="H5" s="82"/>
      <c r="I5" s="83"/>
      <c r="J5" s="74" t="s">
        <v>156</v>
      </c>
      <c r="K5" s="82"/>
      <c r="L5" s="80" t="s">
        <v>20</v>
      </c>
      <c r="M5" s="82"/>
      <c r="N5" s="83"/>
    </row>
    <row r="6" spans="2:14" ht="15" customHeight="1">
      <c r="B6" s="38" t="s">
        <v>157</v>
      </c>
      <c r="C6" s="67"/>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161</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4.9000000000000004" customHeight="1">
      <c r="B11" s="41"/>
      <c r="C11" s="42" t="s">
        <v>166</v>
      </c>
      <c r="D11" s="42" t="s">
        <v>167</v>
      </c>
      <c r="E11" s="42">
        <v>1</v>
      </c>
      <c r="F11" s="42"/>
      <c r="G11" s="68"/>
      <c r="H11" s="91"/>
      <c r="I11" s="91"/>
      <c r="J11" s="91"/>
      <c r="K11" s="91"/>
      <c r="L11" s="91"/>
      <c r="M11" s="91"/>
      <c r="N11" s="92"/>
    </row>
    <row r="12" spans="2:14" ht="4.9000000000000004" customHeight="1">
      <c r="B12" s="41"/>
      <c r="C12" s="42" t="s">
        <v>166</v>
      </c>
      <c r="D12" s="42" t="s">
        <v>167</v>
      </c>
      <c r="E12" s="42"/>
      <c r="F12" s="42">
        <v>1</v>
      </c>
      <c r="G12" s="68"/>
      <c r="H12" s="91"/>
      <c r="I12" s="91"/>
      <c r="J12" s="91"/>
      <c r="K12" s="91"/>
      <c r="L12" s="91"/>
      <c r="M12" s="91"/>
      <c r="N12" s="92"/>
    </row>
    <row r="13" spans="2:14" ht="4.9000000000000004" customHeight="1">
      <c r="B13" s="41"/>
      <c r="C13" s="42" t="s">
        <v>168</v>
      </c>
      <c r="D13" s="42" t="s">
        <v>167</v>
      </c>
      <c r="E13" s="42">
        <v>4</v>
      </c>
      <c r="F13" s="42"/>
      <c r="G13" s="68"/>
      <c r="H13" s="91"/>
      <c r="I13" s="91"/>
      <c r="J13" s="91"/>
      <c r="K13" s="91"/>
      <c r="L13" s="91"/>
      <c r="M13" s="91"/>
      <c r="N13" s="92"/>
    </row>
    <row r="14" spans="2:14" ht="4.9000000000000004" customHeight="1">
      <c r="B14" s="41"/>
      <c r="C14" s="42" t="s">
        <v>168</v>
      </c>
      <c r="D14" s="42" t="s">
        <v>167</v>
      </c>
      <c r="E14" s="42"/>
      <c r="F14" s="42">
        <v>4</v>
      </c>
      <c r="G14" s="68"/>
      <c r="H14" s="91"/>
      <c r="I14" s="91"/>
      <c r="J14" s="91"/>
      <c r="K14" s="91"/>
      <c r="L14" s="91"/>
      <c r="M14" s="91"/>
      <c r="N14" s="92"/>
    </row>
    <row r="15" spans="2:14" ht="4.9000000000000004" customHeight="1">
      <c r="B15" s="41"/>
      <c r="C15" s="42" t="s">
        <v>169</v>
      </c>
      <c r="D15" s="42" t="s">
        <v>167</v>
      </c>
      <c r="E15" s="42">
        <v>5</v>
      </c>
      <c r="F15" s="42"/>
      <c r="G15" s="68"/>
      <c r="H15" s="91"/>
      <c r="I15" s="91"/>
      <c r="J15" s="91"/>
      <c r="K15" s="91"/>
      <c r="L15" s="91"/>
      <c r="M15" s="91"/>
      <c r="N15" s="92"/>
    </row>
    <row r="16" spans="2:14" ht="4.9000000000000004" customHeight="1">
      <c r="B16" s="41"/>
      <c r="C16" s="42" t="s">
        <v>169</v>
      </c>
      <c r="D16" s="42" t="s">
        <v>167</v>
      </c>
      <c r="E16" s="42"/>
      <c r="F16" s="42">
        <v>5</v>
      </c>
      <c r="G16" s="68"/>
      <c r="H16" s="91"/>
      <c r="I16" s="91"/>
      <c r="J16" s="91"/>
      <c r="K16" s="91"/>
      <c r="L16" s="91"/>
      <c r="M16" s="91"/>
      <c r="N16" s="92"/>
    </row>
    <row r="17" spans="2:14" ht="4.9000000000000004" customHeight="1">
      <c r="B17" s="41"/>
      <c r="C17" s="42" t="s">
        <v>170</v>
      </c>
      <c r="D17" s="42" t="s">
        <v>167</v>
      </c>
      <c r="E17" s="42">
        <v>1</v>
      </c>
      <c r="F17" s="42"/>
      <c r="G17" s="68"/>
      <c r="H17" s="91"/>
      <c r="I17" s="91"/>
      <c r="J17" s="91"/>
      <c r="K17" s="91"/>
      <c r="L17" s="91"/>
      <c r="M17" s="91"/>
      <c r="N17" s="92"/>
    </row>
    <row r="18" spans="2:14" ht="4.9000000000000004" customHeight="1">
      <c r="B18" s="41"/>
      <c r="C18" s="42" t="s">
        <v>170</v>
      </c>
      <c r="D18" s="42" t="s">
        <v>167</v>
      </c>
      <c r="E18" s="42"/>
      <c r="F18" s="42">
        <v>1</v>
      </c>
      <c r="G18" s="68"/>
      <c r="H18" s="91"/>
      <c r="I18" s="91"/>
      <c r="J18" s="91"/>
      <c r="K18" s="91"/>
      <c r="L18" s="91"/>
      <c r="M18" s="91"/>
      <c r="N18" s="92"/>
    </row>
    <row r="19" spans="2:14" ht="4.9000000000000004" customHeight="1">
      <c r="B19" s="41"/>
      <c r="C19" s="42" t="s">
        <v>171</v>
      </c>
      <c r="D19" s="42" t="s">
        <v>172</v>
      </c>
      <c r="E19" s="42">
        <v>1</v>
      </c>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f>IFERROR(AVERAGEIFS($E$11:$E$20,$C$11:$C$20,E$37,$D$11:$D$20,$B45),"")</f>
        <v>1</v>
      </c>
      <c r="F45" s="18">
        <f>IFERROR(AVERAGEIFS($F$11:$F$20,$C$11:$C$20,E$37,$D$11:$D$20,$B45),"")</f>
        <v>1</v>
      </c>
      <c r="G45" s="17">
        <f>IFERROR(AVERAGEIFS($E$11:$E$20,$C$11:$C$20,G$37,$D$11:$D$20,$B45),"")</f>
        <v>4</v>
      </c>
      <c r="H45" s="17">
        <f>IFERROR(AVERAGEIFS($F$11:$F$20,$C$11:$C$20,G$37,$D$11:$D$20,$B45),"")</f>
        <v>4</v>
      </c>
      <c r="I45" s="18">
        <f>IFERROR(AVERAGEIFS($E$11:$E$20,$C$11:$C$20,I$37,$D$11:$D$20,$B45),"")</f>
        <v>5</v>
      </c>
      <c r="J45" s="18">
        <f>IFERROR(AVERAGEIFS($F$11:$F$20,$C$11:$C$20,I$37,$D$11:$D$20,$B45),"")</f>
        <v>5</v>
      </c>
      <c r="K45" s="17" t="str">
        <f>IFERROR(AVERAGEIFS($E$11:$E$20,$C$11:$C$20,K$37,$D$11:$D$20,$B45),"")</f>
        <v/>
      </c>
      <c r="L45" s="17" t="str">
        <f>IFERROR(AVERAGEIFS($F$11:$F$20,$C$11:$C$20,K$37,$D$11:$D$20,$B45),"")</f>
        <v/>
      </c>
      <c r="M45" s="18">
        <f>IFERROR(AVERAGEIFS($E$11:$E$20,$C$11:$C$20,M$37,$D$11:$D$20,$B45),"")</f>
        <v>1</v>
      </c>
      <c r="N45" s="18">
        <f>IFERROR(AVERAGEIFS($F$11:$F$20,$C$11:$C$20,M$37,$D$11:$D$20,$B45),"")</f>
        <v>1</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f>IFERROR(AVERAGEIFS($E$11:$E$20,$C$11:$C$20,C$37,$D$11:$D$20,$B49),"")</f>
        <v>1</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93" priority="2">
      <formula>COUNTIFS($C$11:$C$20,"A2")&gt;0</formula>
    </cfRule>
  </conditionalFormatting>
  <conditionalFormatting sqref="C25">
    <cfRule type="expression" dxfId="592" priority="3">
      <formula>COUNTIFS($C$11:$C$20,"A3")&gt;0</formula>
    </cfRule>
  </conditionalFormatting>
  <conditionalFormatting sqref="C26">
    <cfRule type="expression" dxfId="591" priority="4">
      <formula>COUNTIFS($C$11:$C$20,"A4")&gt;0</formula>
    </cfRule>
  </conditionalFormatting>
  <conditionalFormatting sqref="C27">
    <cfRule type="expression" dxfId="590" priority="5">
      <formula>COUNTIFS($C$11:$C$20,"A5")&gt;0</formula>
    </cfRule>
  </conditionalFormatting>
  <conditionalFormatting sqref="C28">
    <cfRule type="expression" dxfId="589" priority="6">
      <formula>COUNTIFS($C$11:$C$20,"A6")&gt;0</formula>
    </cfRule>
  </conditionalFormatting>
  <conditionalFormatting sqref="C23:H23">
    <cfRule type="expression" dxfId="588" priority="7">
      <formula>COUNTIFS($C$11:$C$20,"A1")&gt;0</formula>
    </cfRule>
  </conditionalFormatting>
  <conditionalFormatting sqref="I23">
    <cfRule type="expression" dxfId="587" priority="8">
      <formula>COUNTIFS($D$11:$D$20,"B1")&gt;0</formula>
    </cfRule>
  </conditionalFormatting>
  <conditionalFormatting sqref="I24">
    <cfRule type="expression" dxfId="586" priority="9">
      <formula>COUNTIFS($D$11:$D$20,"B2")&gt;0</formula>
    </cfRule>
  </conditionalFormatting>
  <conditionalFormatting sqref="I25">
    <cfRule type="expression" dxfId="585" priority="10">
      <formula>COUNTIFS($D$11:$D$20,"B3")&gt;0</formula>
    </cfRule>
  </conditionalFormatting>
  <conditionalFormatting sqref="I26">
    <cfRule type="expression" dxfId="584" priority="11">
      <formula>COUNTIFS($D$11:$D$20,"B4")&gt;0</formula>
    </cfRule>
  </conditionalFormatting>
  <conditionalFormatting sqref="I27">
    <cfRule type="expression" dxfId="583" priority="12">
      <formula>COUNTIFS($D$11:$D$20,"B5")&gt;0</formula>
    </cfRule>
  </conditionalFormatting>
  <conditionalFormatting sqref="I28">
    <cfRule type="expression" dxfId="582" priority="13">
      <formula>COUNTIFS($D$11:$D$20,"B6")&gt;0</formula>
    </cfRule>
  </conditionalFormatting>
  <conditionalFormatting sqref="I29">
    <cfRule type="expression" dxfId="581" priority="14">
      <formula>COUNTIFS($D$11:$D$20,"B7")&gt;0</formula>
    </cfRule>
  </conditionalFormatting>
  <conditionalFormatting sqref="I30">
    <cfRule type="expression" dxfId="580" priority="15">
      <formula>COUNTIFS($D$11:$D$20,"B8")&gt;0</formula>
    </cfRule>
  </conditionalFormatting>
  <conditionalFormatting sqref="I31">
    <cfRule type="expression" dxfId="579" priority="16">
      <formula>COUNTIFS($D$11:$D$20,"B9")&gt;0</formula>
    </cfRule>
  </conditionalFormatting>
  <conditionalFormatting sqref="I32">
    <cfRule type="expression" dxfId="578" priority="17">
      <formula>COUNTIFS($D$11:$D$20,"B10")&gt;0</formula>
    </cfRule>
  </conditionalFormatting>
  <conditionalFormatting sqref="I33">
    <cfRule type="expression" dxfId="577" priority="18">
      <formula>COUNTIFS($D$11:$D$20,"B11")&gt;0</formula>
    </cfRule>
  </conditionalFormatting>
  <conditionalFormatting sqref="I34">
    <cfRule type="expression" dxfId="57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154</v>
      </c>
      <c r="D4" s="89"/>
      <c r="E4" s="89"/>
      <c r="F4" s="89"/>
      <c r="G4" s="89"/>
      <c r="H4" s="89"/>
      <c r="I4" s="89"/>
      <c r="J4" s="89"/>
      <c r="K4" s="89"/>
      <c r="L4" s="89"/>
      <c r="M4" s="89"/>
      <c r="N4" s="90"/>
    </row>
    <row r="5" spans="2:14" ht="15" customHeight="1">
      <c r="B5" s="38" t="s">
        <v>155</v>
      </c>
      <c r="C5" s="67" t="s">
        <v>25</v>
      </c>
      <c r="D5" s="82"/>
      <c r="E5" s="82"/>
      <c r="F5" s="82"/>
      <c r="G5" s="82"/>
      <c r="H5" s="82"/>
      <c r="I5" s="83"/>
      <c r="J5" s="74" t="s">
        <v>156</v>
      </c>
      <c r="K5" s="82"/>
      <c r="L5" s="80" t="s">
        <v>24</v>
      </c>
      <c r="M5" s="82"/>
      <c r="N5" s="83"/>
    </row>
    <row r="6" spans="2:14" ht="15" customHeight="1">
      <c r="B6" s="38" t="s">
        <v>157</v>
      </c>
      <c r="C6" s="67"/>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205</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4.9000000000000004" customHeight="1">
      <c r="B11" s="41"/>
      <c r="C11" s="42" t="s">
        <v>166</v>
      </c>
      <c r="D11" s="42" t="s">
        <v>194</v>
      </c>
      <c r="E11" s="42">
        <v>4</v>
      </c>
      <c r="F11" s="42"/>
      <c r="G11" s="68"/>
      <c r="H11" s="91"/>
      <c r="I11" s="91"/>
      <c r="J11" s="91"/>
      <c r="K11" s="91"/>
      <c r="L11" s="91"/>
      <c r="M11" s="91"/>
      <c r="N11" s="92"/>
    </row>
    <row r="12" spans="2:14" ht="4.9000000000000004" customHeight="1">
      <c r="B12" s="41"/>
      <c r="C12" s="42" t="s">
        <v>166</v>
      </c>
      <c r="D12" s="42" t="s">
        <v>194</v>
      </c>
      <c r="E12" s="42"/>
      <c r="F12" s="42">
        <v>4</v>
      </c>
      <c r="G12" s="68"/>
      <c r="H12" s="91"/>
      <c r="I12" s="91"/>
      <c r="J12" s="91"/>
      <c r="K12" s="91"/>
      <c r="L12" s="91"/>
      <c r="M12" s="91"/>
      <c r="N12" s="92"/>
    </row>
    <row r="13" spans="2:14" ht="4.9000000000000004" customHeight="1">
      <c r="B13" s="41"/>
      <c r="C13" s="42" t="s">
        <v>169</v>
      </c>
      <c r="D13" s="42" t="s">
        <v>194</v>
      </c>
      <c r="E13" s="42">
        <v>5</v>
      </c>
      <c r="F13" s="42"/>
      <c r="G13" s="68"/>
      <c r="H13" s="91"/>
      <c r="I13" s="91"/>
      <c r="J13" s="91"/>
      <c r="K13" s="91"/>
      <c r="L13" s="91"/>
      <c r="M13" s="91"/>
      <c r="N13" s="92"/>
    </row>
    <row r="14" spans="2:14" ht="4.9000000000000004" customHeight="1">
      <c r="B14" s="41"/>
      <c r="C14" s="42" t="s">
        <v>169</v>
      </c>
      <c r="D14" s="42" t="s">
        <v>194</v>
      </c>
      <c r="E14" s="42"/>
      <c r="F14" s="42">
        <v>5</v>
      </c>
      <c r="G14" s="68"/>
      <c r="H14" s="91"/>
      <c r="I14" s="91"/>
      <c r="J14" s="91"/>
      <c r="K14" s="91"/>
      <c r="L14" s="91"/>
      <c r="M14" s="91"/>
      <c r="N14" s="92"/>
    </row>
    <row r="15" spans="2:14" ht="4.9000000000000004" customHeight="1">
      <c r="B15" s="41"/>
      <c r="C15" s="42" t="s">
        <v>193</v>
      </c>
      <c r="D15" s="42" t="s">
        <v>194</v>
      </c>
      <c r="E15" s="42">
        <v>5</v>
      </c>
      <c r="F15" s="42"/>
      <c r="G15" s="68"/>
      <c r="H15" s="91"/>
      <c r="I15" s="91"/>
      <c r="J15" s="91"/>
      <c r="K15" s="91"/>
      <c r="L15" s="91"/>
      <c r="M15" s="91"/>
      <c r="N15" s="92"/>
    </row>
    <row r="16" spans="2:14" ht="4.9000000000000004" customHeight="1">
      <c r="B16" s="41"/>
      <c r="C16" s="42" t="s">
        <v>193</v>
      </c>
      <c r="D16" s="42" t="s">
        <v>194</v>
      </c>
      <c r="E16" s="42"/>
      <c r="F16" s="42">
        <v>5</v>
      </c>
      <c r="G16" s="68"/>
      <c r="H16" s="91"/>
      <c r="I16" s="91"/>
      <c r="J16" s="91"/>
      <c r="K16" s="91"/>
      <c r="L16" s="91"/>
      <c r="M16" s="91"/>
      <c r="N16" s="92"/>
    </row>
    <row r="17" spans="2:14" ht="4.9000000000000004" customHeight="1">
      <c r="B17" s="41"/>
      <c r="C17" s="42" t="s">
        <v>166</v>
      </c>
      <c r="D17" s="42" t="s">
        <v>198</v>
      </c>
      <c r="E17" s="42">
        <v>5</v>
      </c>
      <c r="F17" s="42"/>
      <c r="G17" s="68"/>
      <c r="H17" s="91"/>
      <c r="I17" s="91"/>
      <c r="J17" s="91"/>
      <c r="K17" s="91"/>
      <c r="L17" s="91"/>
      <c r="M17" s="91"/>
      <c r="N17" s="92"/>
    </row>
    <row r="18" spans="2:14" ht="4.9000000000000004" customHeight="1">
      <c r="B18" s="41"/>
      <c r="C18" s="42" t="s">
        <v>166</v>
      </c>
      <c r="D18" s="42" t="s">
        <v>198</v>
      </c>
      <c r="E18" s="42"/>
      <c r="F18" s="42">
        <v>5</v>
      </c>
      <c r="G18" s="68"/>
      <c r="H18" s="91"/>
      <c r="I18" s="91"/>
      <c r="J18" s="91"/>
      <c r="K18" s="91"/>
      <c r="L18" s="91"/>
      <c r="M18" s="91"/>
      <c r="N18" s="92"/>
    </row>
    <row r="19" spans="2:14" ht="4.9000000000000004" customHeight="1">
      <c r="B19" s="41"/>
      <c r="C19" s="42" t="s">
        <v>193</v>
      </c>
      <c r="D19" s="42" t="s">
        <v>198</v>
      </c>
      <c r="E19" s="42">
        <v>4</v>
      </c>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f>IFERROR(AVERAGEIFS($E$11:$E$20,$C$11:$C$20,E$37,$D$11:$D$20,$B39),"")</f>
        <v>4</v>
      </c>
      <c r="F39" s="18">
        <f>IFERROR(AVERAGEIFS($F$11:$F$20,$C$11:$C$20,E$37,$D$11:$D$20,$B39),"")</f>
        <v>4</v>
      </c>
      <c r="G39" s="17" t="str">
        <f>IFERROR(AVERAGEIFS($E$11:$E$20,$C$11:$C$20,G$37,$D$11:$D$20,$B39),"")</f>
        <v/>
      </c>
      <c r="H39" s="17" t="str">
        <f>IFERROR(AVERAGEIFS($F$11:$F$20,$C$11:$C$20,G$37,$D$11:$D$20,$B39),"")</f>
        <v/>
      </c>
      <c r="I39" s="18">
        <f>IFERROR(AVERAGEIFS($E$11:$E$20,$C$11:$C$20,I$37,$D$11:$D$20,$B39),"")</f>
        <v>5</v>
      </c>
      <c r="J39" s="18">
        <f>IFERROR(AVERAGEIFS($F$11:$F$20,$C$11:$C$20,I$37,$D$11:$D$20,$B39),"")</f>
        <v>5</v>
      </c>
      <c r="K39" s="17">
        <f>IFERROR(AVERAGEIFS($E$11:$E$20,$C$11:$C$20,K$37,$D$11:$D$20,$B39),"")</f>
        <v>5</v>
      </c>
      <c r="L39" s="17">
        <f>IFERROR(AVERAGEIFS($F$11:$F$20,$C$11:$C$20,K$37,$D$11:$D$20,$B39),"")</f>
        <v>5</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f>IFERROR(AVERAGEIFS($E$11:$E$20,$C$11:$C$20,E$37,$D$11:$D$20,$B43),"")</f>
        <v>5</v>
      </c>
      <c r="F43" s="18">
        <f>IFERROR(AVERAGEIFS($F$11:$F$20,$C$11:$C$20,E$37,$D$11:$D$20,$B43),"")</f>
        <v>5</v>
      </c>
      <c r="G43" s="17" t="str">
        <f>IFERROR(AVERAGEIFS($E$11:$E$20,$C$11:$C$20,G$37,$D$11:$D$20,$B43),"")</f>
        <v/>
      </c>
      <c r="H43" s="17" t="str">
        <f>IFERROR(AVERAGEIFS($F$11:$F$20,$C$11:$C$20,G$37,$D$11:$D$20,$B43),"")</f>
        <v/>
      </c>
      <c r="I43" s="18" t="str">
        <f>IFERROR(AVERAGEIFS($E$11:$E$20,$C$11:$C$20,I$37,$D$11:$D$20,$B43),"")</f>
        <v/>
      </c>
      <c r="J43" s="18" t="str">
        <f>IFERROR(AVERAGEIFS($F$11:$F$20,$C$11:$C$20,I$37,$D$11:$D$20,$B43),"")</f>
        <v/>
      </c>
      <c r="K43" s="17">
        <f>IFERROR(AVERAGEIFS($E$11:$E$20,$C$11:$C$20,K$37,$D$11:$D$20,$B43),"")</f>
        <v>4</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75" priority="2">
      <formula>COUNTIFS($C$11:$C$20,"A2")&gt;0</formula>
    </cfRule>
  </conditionalFormatting>
  <conditionalFormatting sqref="C25">
    <cfRule type="expression" dxfId="574" priority="3">
      <formula>COUNTIFS($C$11:$C$20,"A3")&gt;0</formula>
    </cfRule>
  </conditionalFormatting>
  <conditionalFormatting sqref="C26">
    <cfRule type="expression" dxfId="573" priority="4">
      <formula>COUNTIFS($C$11:$C$20,"A4")&gt;0</formula>
    </cfRule>
  </conditionalFormatting>
  <conditionalFormatting sqref="C27">
    <cfRule type="expression" dxfId="572" priority="5">
      <formula>COUNTIFS($C$11:$C$20,"A5")&gt;0</formula>
    </cfRule>
  </conditionalFormatting>
  <conditionalFormatting sqref="C28">
    <cfRule type="expression" dxfId="571" priority="6">
      <formula>COUNTIFS($C$11:$C$20,"A6")&gt;0</formula>
    </cfRule>
  </conditionalFormatting>
  <conditionalFormatting sqref="C23:H23">
    <cfRule type="expression" dxfId="570" priority="7">
      <formula>COUNTIFS($C$11:$C$20,"A1")&gt;0</formula>
    </cfRule>
  </conditionalFormatting>
  <conditionalFormatting sqref="I23">
    <cfRule type="expression" dxfId="569" priority="8">
      <formula>COUNTIFS($D$11:$D$20,"B1")&gt;0</formula>
    </cfRule>
  </conditionalFormatting>
  <conditionalFormatting sqref="I24">
    <cfRule type="expression" dxfId="568" priority="9">
      <formula>COUNTIFS($D$11:$D$20,"B2")&gt;0</formula>
    </cfRule>
  </conditionalFormatting>
  <conditionalFormatting sqref="I25">
    <cfRule type="expression" dxfId="567" priority="10">
      <formula>COUNTIFS($D$11:$D$20,"B3")&gt;0</formula>
    </cfRule>
  </conditionalFormatting>
  <conditionalFormatting sqref="I26">
    <cfRule type="expression" dxfId="566" priority="11">
      <formula>COUNTIFS($D$11:$D$20,"B4")&gt;0</formula>
    </cfRule>
  </conditionalFormatting>
  <conditionalFormatting sqref="I27">
    <cfRule type="expression" dxfId="565" priority="12">
      <formula>COUNTIFS($D$11:$D$20,"B5")&gt;0</formula>
    </cfRule>
  </conditionalFormatting>
  <conditionalFormatting sqref="I28">
    <cfRule type="expression" dxfId="564" priority="13">
      <formula>COUNTIFS($D$11:$D$20,"B6")&gt;0</formula>
    </cfRule>
  </conditionalFormatting>
  <conditionalFormatting sqref="I29">
    <cfRule type="expression" dxfId="563" priority="14">
      <formula>COUNTIFS($D$11:$D$20,"B7")&gt;0</formula>
    </cfRule>
  </conditionalFormatting>
  <conditionalFormatting sqref="I30">
    <cfRule type="expression" dxfId="562" priority="15">
      <formula>COUNTIFS($D$11:$D$20,"B8")&gt;0</formula>
    </cfRule>
  </conditionalFormatting>
  <conditionalFormatting sqref="I31">
    <cfRule type="expression" dxfId="561" priority="16">
      <formula>COUNTIFS($D$11:$D$20,"B9")&gt;0</formula>
    </cfRule>
  </conditionalFormatting>
  <conditionalFormatting sqref="I32">
    <cfRule type="expression" dxfId="560" priority="17">
      <formula>COUNTIFS($D$11:$D$20,"B10")&gt;0</formula>
    </cfRule>
  </conditionalFormatting>
  <conditionalFormatting sqref="I33">
    <cfRule type="expression" dxfId="559" priority="18">
      <formula>COUNTIFS($D$11:$D$20,"B11")&gt;0</formula>
    </cfRule>
  </conditionalFormatting>
  <conditionalFormatting sqref="I34">
    <cfRule type="expression" dxfId="55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206</v>
      </c>
      <c r="D4" s="89"/>
      <c r="E4" s="89"/>
      <c r="F4" s="89"/>
      <c r="G4" s="89"/>
      <c r="H4" s="89"/>
      <c r="I4" s="89"/>
      <c r="J4" s="89"/>
      <c r="K4" s="89"/>
      <c r="L4" s="89"/>
      <c r="M4" s="89"/>
      <c r="N4" s="90"/>
    </row>
    <row r="5" spans="2:14" ht="15" customHeight="1">
      <c r="B5" s="38" t="s">
        <v>155</v>
      </c>
      <c r="C5" s="67" t="s">
        <v>27</v>
      </c>
      <c r="D5" s="82"/>
      <c r="E5" s="82"/>
      <c r="F5" s="82"/>
      <c r="G5" s="82"/>
      <c r="H5" s="82"/>
      <c r="I5" s="83"/>
      <c r="J5" s="74" t="s">
        <v>156</v>
      </c>
      <c r="K5" s="82"/>
      <c r="L5" s="80" t="s">
        <v>26</v>
      </c>
      <c r="M5" s="82"/>
      <c r="N5" s="83"/>
    </row>
    <row r="6" spans="2:14" ht="15" customHeight="1">
      <c r="B6" s="38" t="s">
        <v>157</v>
      </c>
      <c r="C6" s="67" t="s">
        <v>207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208</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170</v>
      </c>
      <c r="D11" s="42" t="s">
        <v>199</v>
      </c>
      <c r="E11" s="42"/>
      <c r="F11" s="42">
        <v>4</v>
      </c>
      <c r="G11" s="68" t="s">
        <v>209</v>
      </c>
      <c r="H11" s="91"/>
      <c r="I11" s="91"/>
      <c r="J11" s="91"/>
      <c r="K11" s="91"/>
      <c r="L11" s="91"/>
      <c r="M11" s="91"/>
      <c r="N11" s="92"/>
    </row>
    <row r="12" spans="2:14" ht="52.9" customHeight="1">
      <c r="B12" s="41"/>
      <c r="C12" s="42" t="s">
        <v>166</v>
      </c>
      <c r="D12" s="42" t="s">
        <v>196</v>
      </c>
      <c r="E12" s="42"/>
      <c r="F12" s="42">
        <v>3</v>
      </c>
      <c r="G12" s="68" t="s">
        <v>210</v>
      </c>
      <c r="H12" s="91"/>
      <c r="I12" s="91"/>
      <c r="J12" s="91"/>
      <c r="K12" s="91"/>
      <c r="L12" s="91"/>
      <c r="M12" s="91"/>
      <c r="N12" s="92"/>
    </row>
    <row r="13" spans="2:14" ht="52.9" customHeight="1">
      <c r="B13" s="41"/>
      <c r="C13" s="42" t="s">
        <v>168</v>
      </c>
      <c r="D13" s="42" t="s">
        <v>167</v>
      </c>
      <c r="E13" s="42"/>
      <c r="F13" s="42">
        <v>2</v>
      </c>
      <c r="G13" s="68" t="s">
        <v>211</v>
      </c>
      <c r="H13" s="91"/>
      <c r="I13" s="91"/>
      <c r="J13" s="91"/>
      <c r="K13" s="91"/>
      <c r="L13" s="91"/>
      <c r="M13" s="91"/>
      <c r="N13" s="92"/>
    </row>
    <row r="14" spans="2:14" ht="52.9" customHeight="1">
      <c r="B14" s="41"/>
      <c r="C14" s="42" t="s">
        <v>169</v>
      </c>
      <c r="D14" s="42" t="s">
        <v>200</v>
      </c>
      <c r="E14" s="42"/>
      <c r="F14" s="42">
        <v>3</v>
      </c>
      <c r="G14" s="68" t="s">
        <v>212</v>
      </c>
      <c r="H14" s="91"/>
      <c r="I14" s="91"/>
      <c r="J14" s="91"/>
      <c r="K14" s="91"/>
      <c r="L14" s="91"/>
      <c r="M14" s="91"/>
      <c r="N14" s="92"/>
    </row>
    <row r="15" spans="2:14" ht="36.75" customHeight="1">
      <c r="B15" s="41"/>
      <c r="C15" s="42" t="s">
        <v>193</v>
      </c>
      <c r="D15" s="42" t="s">
        <v>194</v>
      </c>
      <c r="E15" s="42"/>
      <c r="F15" s="42">
        <v>4</v>
      </c>
      <c r="G15" s="68" t="s">
        <v>213</v>
      </c>
      <c r="H15" s="91"/>
      <c r="I15" s="91"/>
      <c r="J15" s="91"/>
      <c r="K15" s="91"/>
      <c r="L15" s="91"/>
      <c r="M15" s="91"/>
      <c r="N15" s="92"/>
    </row>
    <row r="16" spans="2:14" ht="36.75" customHeight="1">
      <c r="B16" s="41"/>
      <c r="C16" s="42" t="s">
        <v>166</v>
      </c>
      <c r="D16" s="42" t="s">
        <v>196</v>
      </c>
      <c r="E16" s="42"/>
      <c r="F16" s="42">
        <v>5</v>
      </c>
      <c r="G16" s="68" t="s">
        <v>214</v>
      </c>
      <c r="H16" s="91"/>
      <c r="I16" s="91"/>
      <c r="J16" s="91"/>
      <c r="K16" s="91"/>
      <c r="L16" s="91"/>
      <c r="M16" s="91"/>
      <c r="N16" s="92"/>
    </row>
    <row r="17" spans="2:14" ht="36.75" customHeight="1">
      <c r="B17" s="41"/>
      <c r="C17" s="42" t="s">
        <v>171</v>
      </c>
      <c r="D17" s="42" t="s">
        <v>194</v>
      </c>
      <c r="E17" s="42"/>
      <c r="F17" s="42">
        <v>5</v>
      </c>
      <c r="G17" s="68" t="s">
        <v>215</v>
      </c>
      <c r="H17" s="91"/>
      <c r="I17" s="91"/>
      <c r="J17" s="91"/>
      <c r="K17" s="91"/>
      <c r="L17" s="91"/>
      <c r="M17" s="91"/>
      <c r="N17" s="92"/>
    </row>
    <row r="18" spans="2:14" ht="52.9" customHeight="1">
      <c r="B18" s="41"/>
      <c r="C18" s="42" t="s">
        <v>166</v>
      </c>
      <c r="D18" s="42" t="s">
        <v>196</v>
      </c>
      <c r="E18" s="42"/>
      <c r="F18" s="42">
        <v>3</v>
      </c>
      <c r="G18" s="68" t="s">
        <v>216</v>
      </c>
      <c r="H18" s="91"/>
      <c r="I18" s="91"/>
      <c r="J18" s="91"/>
      <c r="K18" s="91"/>
      <c r="L18" s="91"/>
      <c r="M18" s="91"/>
      <c r="N18" s="92"/>
    </row>
    <row r="19" spans="2:14" ht="36.75" customHeight="1">
      <c r="B19" s="41"/>
      <c r="C19" s="42" t="s">
        <v>171</v>
      </c>
      <c r="D19" s="42" t="s">
        <v>194</v>
      </c>
      <c r="E19" s="42"/>
      <c r="F19" s="42">
        <v>4</v>
      </c>
      <c r="G19" s="68" t="s">
        <v>213</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f>IFERROR(AVERAGEIFS($F$11:$F$20,$C$11:$C$20,C$37,$D$11:$D$20,$B39),"")</f>
        <v>4.5</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f>IFERROR(AVERAGEIFS($F$11:$F$20,$C$11:$C$20,K$37,$D$11:$D$20,$B39),"")</f>
        <v>4</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f>IFERROR(AVERAGEIFS($F$11:$F$20,$C$11:$C$20,E$37,$D$11:$D$20,$B41),"")</f>
        <v>3.6666666666666665</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f>IFERROR(AVERAGEIFS($F$11:$F$20,$C$11:$C$20,M$37,$D$11:$D$20,$B44),"")</f>
        <v>4</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f>IFERROR(AVERAGEIFS($F$11:$F$20,$C$11:$C$20,G$37,$D$11:$D$20,$B45),"")</f>
        <v>2</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f>IFERROR(AVERAGEIFS($F$11:$F$20,$C$11:$C$20,I$37,$D$11:$D$20,$B46),"")</f>
        <v>3</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57" priority="2">
      <formula>COUNTIFS($C$11:$C$20,"A2")&gt;0</formula>
    </cfRule>
  </conditionalFormatting>
  <conditionalFormatting sqref="C25">
    <cfRule type="expression" dxfId="556" priority="3">
      <formula>COUNTIFS($C$11:$C$20,"A3")&gt;0</formula>
    </cfRule>
  </conditionalFormatting>
  <conditionalFormatting sqref="C26">
    <cfRule type="expression" dxfId="555" priority="4">
      <formula>COUNTIFS($C$11:$C$20,"A4")&gt;0</formula>
    </cfRule>
  </conditionalFormatting>
  <conditionalFormatting sqref="C27">
    <cfRule type="expression" dxfId="554" priority="5">
      <formula>COUNTIFS($C$11:$C$20,"A5")&gt;0</formula>
    </cfRule>
  </conditionalFormatting>
  <conditionalFormatting sqref="C28">
    <cfRule type="expression" dxfId="553" priority="6">
      <formula>COUNTIFS($C$11:$C$20,"A6")&gt;0</formula>
    </cfRule>
  </conditionalFormatting>
  <conditionalFormatting sqref="C23:H23">
    <cfRule type="expression" dxfId="552" priority="7">
      <formula>COUNTIFS($C$11:$C$20,"A1")&gt;0</formula>
    </cfRule>
  </conditionalFormatting>
  <conditionalFormatting sqref="I23">
    <cfRule type="expression" dxfId="551" priority="8">
      <formula>COUNTIFS($D$11:$D$20,"B1")&gt;0</formula>
    </cfRule>
  </conditionalFormatting>
  <conditionalFormatting sqref="I24">
    <cfRule type="expression" dxfId="550" priority="9">
      <formula>COUNTIFS($D$11:$D$20,"B2")&gt;0</formula>
    </cfRule>
  </conditionalFormatting>
  <conditionalFormatting sqref="I25">
    <cfRule type="expression" dxfId="549" priority="10">
      <formula>COUNTIFS($D$11:$D$20,"B3")&gt;0</formula>
    </cfRule>
  </conditionalFormatting>
  <conditionalFormatting sqref="I26">
    <cfRule type="expression" dxfId="548" priority="11">
      <formula>COUNTIFS($D$11:$D$20,"B4")&gt;0</formula>
    </cfRule>
  </conditionalFormatting>
  <conditionalFormatting sqref="I27">
    <cfRule type="expression" dxfId="547" priority="12">
      <formula>COUNTIFS($D$11:$D$20,"B5")&gt;0</formula>
    </cfRule>
  </conditionalFormatting>
  <conditionalFormatting sqref="I28">
    <cfRule type="expression" dxfId="546" priority="13">
      <formula>COUNTIFS($D$11:$D$20,"B6")&gt;0</formula>
    </cfRule>
  </conditionalFormatting>
  <conditionalFormatting sqref="I29">
    <cfRule type="expression" dxfId="545" priority="14">
      <formula>COUNTIFS($D$11:$D$20,"B7")&gt;0</formula>
    </cfRule>
  </conditionalFormatting>
  <conditionalFormatting sqref="I30">
    <cfRule type="expression" dxfId="544" priority="15">
      <formula>COUNTIFS($D$11:$D$20,"B8")&gt;0</formula>
    </cfRule>
  </conditionalFormatting>
  <conditionalFormatting sqref="I31">
    <cfRule type="expression" dxfId="543" priority="16">
      <formula>COUNTIFS($D$11:$D$20,"B9")&gt;0</formula>
    </cfRule>
  </conditionalFormatting>
  <conditionalFormatting sqref="I32">
    <cfRule type="expression" dxfId="542" priority="17">
      <formula>COUNTIFS($D$11:$D$20,"B10")&gt;0</formula>
    </cfRule>
  </conditionalFormatting>
  <conditionalFormatting sqref="I33">
    <cfRule type="expression" dxfId="541" priority="18">
      <formula>COUNTIFS($D$11:$D$20,"B11")&gt;0</formula>
    </cfRule>
  </conditionalFormatting>
  <conditionalFormatting sqref="I34">
    <cfRule type="expression" dxfId="54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31</v>
      </c>
      <c r="D5" s="82"/>
      <c r="E5" s="82"/>
      <c r="F5" s="82"/>
      <c r="G5" s="82"/>
      <c r="H5" s="82"/>
      <c r="I5" s="83"/>
      <c r="J5" s="74" t="s">
        <v>156</v>
      </c>
      <c r="K5" s="82"/>
      <c r="L5" s="80" t="s">
        <v>30</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219</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84.75" customHeight="1">
      <c r="B11" s="41"/>
      <c r="C11" s="42" t="s">
        <v>166</v>
      </c>
      <c r="D11" s="42" t="s">
        <v>202</v>
      </c>
      <c r="E11" s="42">
        <v>4</v>
      </c>
      <c r="F11" s="42"/>
      <c r="G11" s="68" t="s">
        <v>220</v>
      </c>
      <c r="H11" s="91"/>
      <c r="I11" s="91"/>
      <c r="J11" s="91"/>
      <c r="K11" s="91"/>
      <c r="L11" s="91"/>
      <c r="M11" s="91"/>
      <c r="N11" s="92"/>
    </row>
    <row r="12" spans="2:14" ht="68.849999999999994" customHeight="1">
      <c r="B12" s="41"/>
      <c r="C12" s="42" t="s">
        <v>169</v>
      </c>
      <c r="D12" s="42" t="s">
        <v>172</v>
      </c>
      <c r="E12" s="42">
        <v>3</v>
      </c>
      <c r="F12" s="42"/>
      <c r="G12" s="68" t="s">
        <v>221</v>
      </c>
      <c r="H12" s="91"/>
      <c r="I12" s="91"/>
      <c r="J12" s="91"/>
      <c r="K12" s="91"/>
      <c r="L12" s="91"/>
      <c r="M12" s="91"/>
      <c r="N12" s="92"/>
    </row>
    <row r="13" spans="2:14" ht="52.9" customHeight="1">
      <c r="B13" s="41"/>
      <c r="C13" s="42" t="s">
        <v>193</v>
      </c>
      <c r="D13" s="42" t="s">
        <v>199</v>
      </c>
      <c r="E13" s="42">
        <v>2</v>
      </c>
      <c r="F13" s="42"/>
      <c r="G13" s="68" t="s">
        <v>222</v>
      </c>
      <c r="H13" s="91"/>
      <c r="I13" s="91"/>
      <c r="J13" s="91"/>
      <c r="K13" s="91"/>
      <c r="L13" s="91"/>
      <c r="M13" s="91"/>
      <c r="N13" s="92"/>
    </row>
    <row r="14" spans="2:14" ht="68.849999999999994" customHeight="1">
      <c r="B14" s="41"/>
      <c r="C14" s="42" t="s">
        <v>170</v>
      </c>
      <c r="D14" s="42" t="s">
        <v>197</v>
      </c>
      <c r="E14" s="42">
        <v>5</v>
      </c>
      <c r="F14" s="42"/>
      <c r="G14" s="68" t="s">
        <v>223</v>
      </c>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f>IFERROR(AVERAGEIFS($E$11:$E$20,$C$11:$C$20,M$37,$D$11:$D$20,$B42),"")</f>
        <v>5</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f>IFERROR(AVERAGEIFS($E$11:$E$20,$C$11:$C$20,K$37,$D$11:$D$20,$B44),"")</f>
        <v>2</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4</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f>IFERROR(AVERAGEIFS($E$11:$E$20,$C$11:$C$20,I$37,$D$11:$D$20,$B49),"")</f>
        <v>3</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39" priority="2">
      <formula>COUNTIFS($C$11:$C$20,"A2")&gt;0</formula>
    </cfRule>
  </conditionalFormatting>
  <conditionalFormatting sqref="C25">
    <cfRule type="expression" dxfId="538" priority="3">
      <formula>COUNTIFS($C$11:$C$20,"A3")&gt;0</formula>
    </cfRule>
  </conditionalFormatting>
  <conditionalFormatting sqref="C26">
    <cfRule type="expression" dxfId="537" priority="4">
      <formula>COUNTIFS($C$11:$C$20,"A4")&gt;0</formula>
    </cfRule>
  </conditionalFormatting>
  <conditionalFormatting sqref="C27">
    <cfRule type="expression" dxfId="536" priority="5">
      <formula>COUNTIFS($C$11:$C$20,"A5")&gt;0</formula>
    </cfRule>
  </conditionalFormatting>
  <conditionalFormatting sqref="C28">
    <cfRule type="expression" dxfId="535" priority="6">
      <formula>COUNTIFS($C$11:$C$20,"A6")&gt;0</formula>
    </cfRule>
  </conditionalFormatting>
  <conditionalFormatting sqref="C23:H23">
    <cfRule type="expression" dxfId="534" priority="7">
      <formula>COUNTIFS($C$11:$C$20,"A1")&gt;0</formula>
    </cfRule>
  </conditionalFormatting>
  <conditionalFormatting sqref="I23">
    <cfRule type="expression" dxfId="533" priority="8">
      <formula>COUNTIFS($D$11:$D$20,"B1")&gt;0</formula>
    </cfRule>
  </conditionalFormatting>
  <conditionalFormatting sqref="I24">
    <cfRule type="expression" dxfId="532" priority="9">
      <formula>COUNTIFS($D$11:$D$20,"B2")&gt;0</formula>
    </cfRule>
  </conditionalFormatting>
  <conditionalFormatting sqref="I25">
    <cfRule type="expression" dxfId="531" priority="10">
      <formula>COUNTIFS($D$11:$D$20,"B3")&gt;0</formula>
    </cfRule>
  </conditionalFormatting>
  <conditionalFormatting sqref="I26">
    <cfRule type="expression" dxfId="530" priority="11">
      <formula>COUNTIFS($D$11:$D$20,"B4")&gt;0</formula>
    </cfRule>
  </conditionalFormatting>
  <conditionalFormatting sqref="I27">
    <cfRule type="expression" dxfId="529" priority="12">
      <formula>COUNTIFS($D$11:$D$20,"B5")&gt;0</formula>
    </cfRule>
  </conditionalFormatting>
  <conditionalFormatting sqref="I28">
    <cfRule type="expression" dxfId="528" priority="13">
      <formula>COUNTIFS($D$11:$D$20,"B6")&gt;0</formula>
    </cfRule>
  </conditionalFormatting>
  <conditionalFormatting sqref="I29">
    <cfRule type="expression" dxfId="527" priority="14">
      <formula>COUNTIFS($D$11:$D$20,"B7")&gt;0</formula>
    </cfRule>
  </conditionalFormatting>
  <conditionalFormatting sqref="I30">
    <cfRule type="expression" dxfId="526" priority="15">
      <formula>COUNTIFS($D$11:$D$20,"B8")&gt;0</formula>
    </cfRule>
  </conditionalFormatting>
  <conditionalFormatting sqref="I31">
    <cfRule type="expression" dxfId="525" priority="16">
      <formula>COUNTIFS($D$11:$D$20,"B9")&gt;0</formula>
    </cfRule>
  </conditionalFormatting>
  <conditionalFormatting sqref="I32">
    <cfRule type="expression" dxfId="524" priority="17">
      <formula>COUNTIFS($D$11:$D$20,"B10")&gt;0</formula>
    </cfRule>
  </conditionalFormatting>
  <conditionalFormatting sqref="I33">
    <cfRule type="expression" dxfId="523" priority="18">
      <formula>COUNTIFS($D$11:$D$20,"B11")&gt;0</formula>
    </cfRule>
  </conditionalFormatting>
  <conditionalFormatting sqref="I34">
    <cfRule type="expression" dxfId="522"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33</v>
      </c>
      <c r="D5" s="82"/>
      <c r="E5" s="82"/>
      <c r="F5" s="82"/>
      <c r="G5" s="82"/>
      <c r="H5" s="82"/>
      <c r="I5" s="83"/>
      <c r="J5" s="74" t="s">
        <v>156</v>
      </c>
      <c r="K5" s="82"/>
      <c r="L5" s="80" t="s">
        <v>32</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224</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196</v>
      </c>
      <c r="E11" s="42">
        <v>3</v>
      </c>
      <c r="F11" s="42"/>
      <c r="G11" s="68" t="s">
        <v>225</v>
      </c>
      <c r="H11" s="91"/>
      <c r="I11" s="91"/>
      <c r="J11" s="91"/>
      <c r="K11" s="91"/>
      <c r="L11" s="91"/>
      <c r="M11" s="91"/>
      <c r="N11" s="92"/>
    </row>
    <row r="12" spans="2:14" ht="52.9" customHeight="1">
      <c r="B12" s="41"/>
      <c r="C12" s="42" t="s">
        <v>193</v>
      </c>
      <c r="D12" s="42" t="s">
        <v>198</v>
      </c>
      <c r="E12" s="42">
        <v>4</v>
      </c>
      <c r="F12" s="42"/>
      <c r="G12" s="68" t="s">
        <v>226</v>
      </c>
      <c r="H12" s="91"/>
      <c r="I12" s="91"/>
      <c r="J12" s="91"/>
      <c r="K12" s="91"/>
      <c r="L12" s="91"/>
      <c r="M12" s="91"/>
      <c r="N12" s="92"/>
    </row>
    <row r="13" spans="2:14" ht="68.849999999999994" customHeight="1">
      <c r="B13" s="41"/>
      <c r="C13" s="42" t="s">
        <v>170</v>
      </c>
      <c r="D13" s="42" t="s">
        <v>197</v>
      </c>
      <c r="E13" s="42">
        <v>5</v>
      </c>
      <c r="F13" s="42"/>
      <c r="G13" s="68" t="s">
        <v>227</v>
      </c>
      <c r="H13" s="91"/>
      <c r="I13" s="91"/>
      <c r="J13" s="91"/>
      <c r="K13" s="91"/>
      <c r="L13" s="91"/>
      <c r="M13" s="91"/>
      <c r="N13" s="92"/>
    </row>
    <row r="14" spans="2:14" ht="68.849999999999994" customHeight="1">
      <c r="B14" s="41"/>
      <c r="C14" s="42" t="s">
        <v>169</v>
      </c>
      <c r="D14" s="42" t="s">
        <v>200</v>
      </c>
      <c r="E14" s="42">
        <v>4</v>
      </c>
      <c r="F14" s="42"/>
      <c r="G14" s="68" t="s">
        <v>228</v>
      </c>
      <c r="H14" s="91"/>
      <c r="I14" s="91"/>
      <c r="J14" s="91"/>
      <c r="K14" s="91"/>
      <c r="L14" s="91"/>
      <c r="M14" s="91"/>
      <c r="N14" s="92"/>
    </row>
    <row r="15" spans="2:14" ht="68.849999999999994" customHeight="1">
      <c r="B15" s="41"/>
      <c r="C15" s="42" t="s">
        <v>193</v>
      </c>
      <c r="D15" s="42" t="s">
        <v>199</v>
      </c>
      <c r="E15" s="42">
        <v>4</v>
      </c>
      <c r="F15" s="42"/>
      <c r="G15" s="68" t="s">
        <v>229</v>
      </c>
      <c r="H15" s="91"/>
      <c r="I15" s="91"/>
      <c r="J15" s="91"/>
      <c r="K15" s="91"/>
      <c r="L15" s="91"/>
      <c r="M15" s="91"/>
      <c r="N15" s="92"/>
    </row>
    <row r="16" spans="2:14" ht="52.9" customHeight="1">
      <c r="B16" s="41"/>
      <c r="C16" s="42" t="s">
        <v>171</v>
      </c>
      <c r="D16" s="42" t="s">
        <v>172</v>
      </c>
      <c r="E16" s="42">
        <v>3</v>
      </c>
      <c r="F16" s="42"/>
      <c r="G16" s="68" t="s">
        <v>230</v>
      </c>
      <c r="H16" s="91"/>
      <c r="I16" s="91"/>
      <c r="J16" s="91"/>
      <c r="K16" s="91"/>
      <c r="L16" s="91"/>
      <c r="M16" s="91"/>
      <c r="N16" s="92"/>
    </row>
    <row r="17" spans="2:14" ht="68.849999999999994" customHeight="1">
      <c r="B17" s="41"/>
      <c r="C17" s="42" t="s">
        <v>170</v>
      </c>
      <c r="D17" s="42" t="s">
        <v>202</v>
      </c>
      <c r="E17" s="42">
        <v>2</v>
      </c>
      <c r="F17" s="42"/>
      <c r="G17" s="68" t="s">
        <v>231</v>
      </c>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f>IFERROR(AVERAGEIFS($E$11:$E$20,$C$11:$C$20,I$37,$D$11:$D$20,$B41),"")</f>
        <v>3</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f>IFERROR(AVERAGEIFS($E$11:$E$20,$C$11:$C$20,M$37,$D$11:$D$20,$B42),"")</f>
        <v>5</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f>IFERROR(AVERAGEIFS($E$11:$E$20,$C$11:$C$20,K$37,$D$11:$D$20,$B43),"")</f>
        <v>4</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f>IFERROR(AVERAGEIFS($E$11:$E$20,$C$11:$C$20,K$37,$D$11:$D$20,$B44),"")</f>
        <v>4</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4</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f>IFERROR(AVERAGEIFS($E$11:$E$20,$C$11:$C$20,M$37,$D$11:$D$20,$B48),"")</f>
        <v>2</v>
      </c>
      <c r="N48" s="18" t="str">
        <f>IFERROR(AVERAGEIFS($F$11:$F$20,$C$11:$C$20,M$37,$D$11:$D$20,$B48),"")</f>
        <v/>
      </c>
    </row>
    <row r="49" spans="2:14" ht="15" customHeight="1">
      <c r="B49" s="43" t="s">
        <v>172</v>
      </c>
      <c r="C49" s="17">
        <f>IFERROR(AVERAGEIFS($E$11:$E$20,$C$11:$C$20,C$37,$D$11:$D$20,$B49),"")</f>
        <v>3</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21" priority="2">
      <formula>COUNTIFS($C$11:$C$20,"A2")&gt;0</formula>
    </cfRule>
  </conditionalFormatting>
  <conditionalFormatting sqref="C25">
    <cfRule type="expression" dxfId="520" priority="3">
      <formula>COUNTIFS($C$11:$C$20,"A3")&gt;0</formula>
    </cfRule>
  </conditionalFormatting>
  <conditionalFormatting sqref="C26">
    <cfRule type="expression" dxfId="519" priority="4">
      <formula>COUNTIFS($C$11:$C$20,"A4")&gt;0</formula>
    </cfRule>
  </conditionalFormatting>
  <conditionalFormatting sqref="C27">
    <cfRule type="expression" dxfId="518" priority="5">
      <formula>COUNTIFS($C$11:$C$20,"A5")&gt;0</formula>
    </cfRule>
  </conditionalFormatting>
  <conditionalFormatting sqref="C28">
    <cfRule type="expression" dxfId="517" priority="6">
      <formula>COUNTIFS($C$11:$C$20,"A6")&gt;0</formula>
    </cfRule>
  </conditionalFormatting>
  <conditionalFormatting sqref="C23:H23">
    <cfRule type="expression" dxfId="516" priority="7">
      <formula>COUNTIFS($C$11:$C$20,"A1")&gt;0</formula>
    </cfRule>
  </conditionalFormatting>
  <conditionalFormatting sqref="I23">
    <cfRule type="expression" dxfId="515" priority="8">
      <formula>COUNTIFS($D$11:$D$20,"B1")&gt;0</formula>
    </cfRule>
  </conditionalFormatting>
  <conditionalFormatting sqref="I24">
    <cfRule type="expression" dxfId="514" priority="9">
      <formula>COUNTIFS($D$11:$D$20,"B2")&gt;0</formula>
    </cfRule>
  </conditionalFormatting>
  <conditionalFormatting sqref="I25">
    <cfRule type="expression" dxfId="513" priority="10">
      <formula>COUNTIFS($D$11:$D$20,"B3")&gt;0</formula>
    </cfRule>
  </conditionalFormatting>
  <conditionalFormatting sqref="I26">
    <cfRule type="expression" dxfId="512" priority="11">
      <formula>COUNTIFS($D$11:$D$20,"B4")&gt;0</formula>
    </cfRule>
  </conditionalFormatting>
  <conditionalFormatting sqref="I27">
    <cfRule type="expression" dxfId="511" priority="12">
      <formula>COUNTIFS($D$11:$D$20,"B5")&gt;0</formula>
    </cfRule>
  </conditionalFormatting>
  <conditionalFormatting sqref="I28">
    <cfRule type="expression" dxfId="510" priority="13">
      <formula>COUNTIFS($D$11:$D$20,"B6")&gt;0</formula>
    </cfRule>
  </conditionalFormatting>
  <conditionalFormatting sqref="I29">
    <cfRule type="expression" dxfId="509" priority="14">
      <formula>COUNTIFS($D$11:$D$20,"B7")&gt;0</formula>
    </cfRule>
  </conditionalFormatting>
  <conditionalFormatting sqref="I30">
    <cfRule type="expression" dxfId="508" priority="15">
      <formula>COUNTIFS($D$11:$D$20,"B8")&gt;0</formula>
    </cfRule>
  </conditionalFormatting>
  <conditionalFormatting sqref="I31">
    <cfRule type="expression" dxfId="507" priority="16">
      <formula>COUNTIFS($D$11:$D$20,"B9")&gt;0</formula>
    </cfRule>
  </conditionalFormatting>
  <conditionalFormatting sqref="I32">
    <cfRule type="expression" dxfId="506" priority="17">
      <formula>COUNTIFS($D$11:$D$20,"B10")&gt;0</formula>
    </cfRule>
  </conditionalFormatting>
  <conditionalFormatting sqref="I33">
    <cfRule type="expression" dxfId="505" priority="18">
      <formula>COUNTIFS($D$11:$D$20,"B11")&gt;0</formula>
    </cfRule>
  </conditionalFormatting>
  <conditionalFormatting sqref="I34">
    <cfRule type="expression" dxfId="504"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35</v>
      </c>
      <c r="D5" s="82"/>
      <c r="E5" s="82"/>
      <c r="F5" s="82"/>
      <c r="G5" s="82"/>
      <c r="H5" s="82"/>
      <c r="I5" s="83"/>
      <c r="J5" s="74" t="s">
        <v>156</v>
      </c>
      <c r="K5" s="82"/>
      <c r="L5" s="80" t="s">
        <v>34</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232</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168</v>
      </c>
      <c r="D11" s="42" t="s">
        <v>196</v>
      </c>
      <c r="E11" s="42">
        <v>4</v>
      </c>
      <c r="F11" s="42"/>
      <c r="G11" s="68" t="s">
        <v>233</v>
      </c>
      <c r="H11" s="91"/>
      <c r="I11" s="91"/>
      <c r="J11" s="91"/>
      <c r="K11" s="91"/>
      <c r="L11" s="91"/>
      <c r="M11" s="91"/>
      <c r="N11" s="92"/>
    </row>
    <row r="12" spans="2:14" ht="68.849999999999994" customHeight="1">
      <c r="B12" s="41"/>
      <c r="C12" s="42" t="s">
        <v>169</v>
      </c>
      <c r="D12" s="42" t="s">
        <v>200</v>
      </c>
      <c r="E12" s="42">
        <v>3</v>
      </c>
      <c r="F12" s="42"/>
      <c r="G12" s="68" t="s">
        <v>234</v>
      </c>
      <c r="H12" s="91"/>
      <c r="I12" s="91"/>
      <c r="J12" s="91"/>
      <c r="K12" s="91"/>
      <c r="L12" s="91"/>
      <c r="M12" s="91"/>
      <c r="N12" s="92"/>
    </row>
    <row r="13" spans="2:14" ht="68.849999999999994" customHeight="1">
      <c r="B13" s="41"/>
      <c r="C13" s="42" t="s">
        <v>171</v>
      </c>
      <c r="D13" s="42" t="s">
        <v>172</v>
      </c>
      <c r="E13" s="42">
        <v>4</v>
      </c>
      <c r="F13" s="42"/>
      <c r="G13" s="68" t="s">
        <v>235</v>
      </c>
      <c r="H13" s="91"/>
      <c r="I13" s="91"/>
      <c r="J13" s="91"/>
      <c r="K13" s="91"/>
      <c r="L13" s="91"/>
      <c r="M13" s="91"/>
      <c r="N13" s="92"/>
    </row>
    <row r="14" spans="2:14" ht="68.849999999999994" customHeight="1">
      <c r="B14" s="41"/>
      <c r="C14" s="42" t="s">
        <v>168</v>
      </c>
      <c r="D14" s="42" t="s">
        <v>196</v>
      </c>
      <c r="E14" s="42"/>
      <c r="F14" s="42">
        <v>3</v>
      </c>
      <c r="G14" s="68" t="s">
        <v>236</v>
      </c>
      <c r="H14" s="91"/>
      <c r="I14" s="91"/>
      <c r="J14" s="91"/>
      <c r="K14" s="91"/>
      <c r="L14" s="91"/>
      <c r="M14" s="91"/>
      <c r="N14" s="92"/>
    </row>
    <row r="15" spans="2:14" ht="52.9" customHeight="1">
      <c r="B15" s="41"/>
      <c r="C15" s="42" t="s">
        <v>169</v>
      </c>
      <c r="D15" s="42" t="s">
        <v>167</v>
      </c>
      <c r="E15" s="42">
        <v>3</v>
      </c>
      <c r="F15" s="42"/>
      <c r="G15" s="68" t="s">
        <v>237</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4</v>
      </c>
      <c r="H41" s="17">
        <f>IFERROR(AVERAGEIFS($F$11:$F$20,$C$11:$C$20,G$37,$D$11:$D$20,$B41),"")</f>
        <v>3</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3</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3</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f>IFERROR(AVERAGEIFS($E$11:$E$20,$C$11:$C$20,C$37,$D$11:$D$20,$B49),"")</f>
        <v>4</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03" priority="2">
      <formula>COUNTIFS($C$11:$C$20,"A2")&gt;0</formula>
    </cfRule>
  </conditionalFormatting>
  <conditionalFormatting sqref="C25">
    <cfRule type="expression" dxfId="502" priority="3">
      <formula>COUNTIFS($C$11:$C$20,"A3")&gt;0</formula>
    </cfRule>
  </conditionalFormatting>
  <conditionalFormatting sqref="C26">
    <cfRule type="expression" dxfId="501" priority="4">
      <formula>COUNTIFS($C$11:$C$20,"A4")&gt;0</formula>
    </cfRule>
  </conditionalFormatting>
  <conditionalFormatting sqref="C27">
    <cfRule type="expression" dxfId="500" priority="5">
      <formula>COUNTIFS($C$11:$C$20,"A5")&gt;0</formula>
    </cfRule>
  </conditionalFormatting>
  <conditionalFormatting sqref="C28">
    <cfRule type="expression" dxfId="499" priority="6">
      <formula>COUNTIFS($C$11:$C$20,"A6")&gt;0</formula>
    </cfRule>
  </conditionalFormatting>
  <conditionalFormatting sqref="C23:H23">
    <cfRule type="expression" dxfId="498" priority="7">
      <formula>COUNTIFS($C$11:$C$20,"A1")&gt;0</formula>
    </cfRule>
  </conditionalFormatting>
  <conditionalFormatting sqref="I23">
    <cfRule type="expression" dxfId="497" priority="8">
      <formula>COUNTIFS($D$11:$D$20,"B1")&gt;0</formula>
    </cfRule>
  </conditionalFormatting>
  <conditionalFormatting sqref="I24">
    <cfRule type="expression" dxfId="496" priority="9">
      <formula>COUNTIFS($D$11:$D$20,"B2")&gt;0</formula>
    </cfRule>
  </conditionalFormatting>
  <conditionalFormatting sqref="I25">
    <cfRule type="expression" dxfId="495" priority="10">
      <formula>COUNTIFS($D$11:$D$20,"B3")&gt;0</formula>
    </cfRule>
  </conditionalFormatting>
  <conditionalFormatting sqref="I26">
    <cfRule type="expression" dxfId="494" priority="11">
      <formula>COUNTIFS($D$11:$D$20,"B4")&gt;0</formula>
    </cfRule>
  </conditionalFormatting>
  <conditionalFormatting sqref="I27">
    <cfRule type="expression" dxfId="493" priority="12">
      <formula>COUNTIFS($D$11:$D$20,"B5")&gt;0</formula>
    </cfRule>
  </conditionalFormatting>
  <conditionalFormatting sqref="I28">
    <cfRule type="expression" dxfId="492" priority="13">
      <formula>COUNTIFS($D$11:$D$20,"B6")&gt;0</formula>
    </cfRule>
  </conditionalFormatting>
  <conditionalFormatting sqref="I29">
    <cfRule type="expression" dxfId="491" priority="14">
      <formula>COUNTIFS($D$11:$D$20,"B7")&gt;0</formula>
    </cfRule>
  </conditionalFormatting>
  <conditionalFormatting sqref="I30">
    <cfRule type="expression" dxfId="490" priority="15">
      <formula>COUNTIFS($D$11:$D$20,"B8")&gt;0</formula>
    </cfRule>
  </conditionalFormatting>
  <conditionalFormatting sqref="I31">
    <cfRule type="expression" dxfId="489" priority="16">
      <formula>COUNTIFS($D$11:$D$20,"B9")&gt;0</formula>
    </cfRule>
  </conditionalFormatting>
  <conditionalFormatting sqref="I32">
    <cfRule type="expression" dxfId="488" priority="17">
      <formula>COUNTIFS($D$11:$D$20,"B10")&gt;0</formula>
    </cfRule>
  </conditionalFormatting>
  <conditionalFormatting sqref="I33">
    <cfRule type="expression" dxfId="487" priority="18">
      <formula>COUNTIFS($D$11:$D$20,"B11")&gt;0</formula>
    </cfRule>
  </conditionalFormatting>
  <conditionalFormatting sqref="I34">
    <cfRule type="expression" dxfId="48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37</v>
      </c>
      <c r="D5" s="82"/>
      <c r="E5" s="82"/>
      <c r="F5" s="82"/>
      <c r="G5" s="82"/>
      <c r="H5" s="82"/>
      <c r="I5" s="83"/>
      <c r="J5" s="74" t="s">
        <v>156</v>
      </c>
      <c r="K5" s="82"/>
      <c r="L5" s="80" t="s">
        <v>36</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238</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169</v>
      </c>
      <c r="D11" s="42" t="s">
        <v>172</v>
      </c>
      <c r="E11" s="42">
        <v>3</v>
      </c>
      <c r="F11" s="42"/>
      <c r="G11" s="68" t="s">
        <v>239</v>
      </c>
      <c r="H11" s="91"/>
      <c r="I11" s="91"/>
      <c r="J11" s="91"/>
      <c r="K11" s="91"/>
      <c r="L11" s="91"/>
      <c r="M11" s="91"/>
      <c r="N11" s="92"/>
    </row>
    <row r="12" spans="2:14" ht="52.9" customHeight="1">
      <c r="B12" s="41"/>
      <c r="C12" s="42" t="s">
        <v>193</v>
      </c>
      <c r="D12" s="42" t="s">
        <v>200</v>
      </c>
      <c r="E12" s="42">
        <v>3</v>
      </c>
      <c r="F12" s="42"/>
      <c r="G12" s="68" t="s">
        <v>240</v>
      </c>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f>IFERROR(AVERAGEIFS($E$11:$E$20,$C$11:$C$20,K$37,$D$11:$D$20,$B46),"")</f>
        <v>3</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f>IFERROR(AVERAGEIFS($E$11:$E$20,$C$11:$C$20,I$37,$D$11:$D$20,$B49),"")</f>
        <v>3</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485" priority="2">
      <formula>COUNTIFS($C$11:$C$20,"A2")&gt;0</formula>
    </cfRule>
  </conditionalFormatting>
  <conditionalFormatting sqref="C25">
    <cfRule type="expression" dxfId="484" priority="3">
      <formula>COUNTIFS($C$11:$C$20,"A3")&gt;0</formula>
    </cfRule>
  </conditionalFormatting>
  <conditionalFormatting sqref="C26">
    <cfRule type="expression" dxfId="483" priority="4">
      <formula>COUNTIFS($C$11:$C$20,"A4")&gt;0</formula>
    </cfRule>
  </conditionalFormatting>
  <conditionalFormatting sqref="C27">
    <cfRule type="expression" dxfId="482" priority="5">
      <formula>COUNTIFS($C$11:$C$20,"A5")&gt;0</formula>
    </cfRule>
  </conditionalFormatting>
  <conditionalFormatting sqref="C28">
    <cfRule type="expression" dxfId="481" priority="6">
      <formula>COUNTIFS($C$11:$C$20,"A6")&gt;0</formula>
    </cfRule>
  </conditionalFormatting>
  <conditionalFormatting sqref="C23:H23">
    <cfRule type="expression" dxfId="480" priority="7">
      <formula>COUNTIFS($C$11:$C$20,"A1")&gt;0</formula>
    </cfRule>
  </conditionalFormatting>
  <conditionalFormatting sqref="I23">
    <cfRule type="expression" dxfId="479" priority="8">
      <formula>COUNTIFS($D$11:$D$20,"B1")&gt;0</formula>
    </cfRule>
  </conditionalFormatting>
  <conditionalFormatting sqref="I24">
    <cfRule type="expression" dxfId="478" priority="9">
      <formula>COUNTIFS($D$11:$D$20,"B2")&gt;0</formula>
    </cfRule>
  </conditionalFormatting>
  <conditionalFormatting sqref="I25">
    <cfRule type="expression" dxfId="477" priority="10">
      <formula>COUNTIFS($D$11:$D$20,"B3")&gt;0</formula>
    </cfRule>
  </conditionalFormatting>
  <conditionalFormatting sqref="I26">
    <cfRule type="expression" dxfId="476" priority="11">
      <formula>COUNTIFS($D$11:$D$20,"B4")&gt;0</formula>
    </cfRule>
  </conditionalFormatting>
  <conditionalFormatting sqref="I27">
    <cfRule type="expression" dxfId="475" priority="12">
      <formula>COUNTIFS($D$11:$D$20,"B5")&gt;0</formula>
    </cfRule>
  </conditionalFormatting>
  <conditionalFormatting sqref="I28">
    <cfRule type="expression" dxfId="474" priority="13">
      <formula>COUNTIFS($D$11:$D$20,"B6")&gt;0</formula>
    </cfRule>
  </conditionalFormatting>
  <conditionalFormatting sqref="I29">
    <cfRule type="expression" dxfId="473" priority="14">
      <formula>COUNTIFS($D$11:$D$20,"B7")&gt;0</formula>
    </cfRule>
  </conditionalFormatting>
  <conditionalFormatting sqref="I30">
    <cfRule type="expression" dxfId="472" priority="15">
      <formula>COUNTIFS($D$11:$D$20,"B8")&gt;0</formula>
    </cfRule>
  </conditionalFormatting>
  <conditionalFormatting sqref="I31">
    <cfRule type="expression" dxfId="471" priority="16">
      <formula>COUNTIFS($D$11:$D$20,"B9")&gt;0</formula>
    </cfRule>
  </conditionalFormatting>
  <conditionalFormatting sqref="I32">
    <cfRule type="expression" dxfId="470" priority="17">
      <formula>COUNTIFS($D$11:$D$20,"B10")&gt;0</formula>
    </cfRule>
  </conditionalFormatting>
  <conditionalFormatting sqref="I33">
    <cfRule type="expression" dxfId="469" priority="18">
      <formula>COUNTIFS($D$11:$D$20,"B11")&gt;0</formula>
    </cfRule>
  </conditionalFormatting>
  <conditionalFormatting sqref="I34">
    <cfRule type="expression" dxfId="46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40</v>
      </c>
      <c r="D5" s="82"/>
      <c r="E5" s="82"/>
      <c r="F5" s="82"/>
      <c r="G5" s="82"/>
      <c r="H5" s="82"/>
      <c r="I5" s="83"/>
      <c r="J5" s="74" t="s">
        <v>156</v>
      </c>
      <c r="K5" s="82"/>
      <c r="L5" s="80" t="s">
        <v>39</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241</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168</v>
      </c>
      <c r="D11" s="42" t="s">
        <v>196</v>
      </c>
      <c r="E11" s="42">
        <v>4</v>
      </c>
      <c r="F11" s="42"/>
      <c r="G11" s="68" t="s">
        <v>242</v>
      </c>
      <c r="H11" s="91"/>
      <c r="I11" s="91"/>
      <c r="J11" s="91"/>
      <c r="K11" s="91"/>
      <c r="L11" s="91"/>
      <c r="M11" s="91"/>
      <c r="N11" s="92"/>
    </row>
    <row r="12" spans="2:14" ht="68.849999999999994" customHeight="1">
      <c r="B12" s="41"/>
      <c r="C12" s="42" t="s">
        <v>168</v>
      </c>
      <c r="D12" s="42" t="s">
        <v>196</v>
      </c>
      <c r="E12" s="42"/>
      <c r="F12" s="42">
        <v>3</v>
      </c>
      <c r="G12" s="68" t="s">
        <v>243</v>
      </c>
      <c r="H12" s="91"/>
      <c r="I12" s="91"/>
      <c r="J12" s="91"/>
      <c r="K12" s="91"/>
      <c r="L12" s="91"/>
      <c r="M12" s="91"/>
      <c r="N12" s="92"/>
    </row>
    <row r="13" spans="2:14" ht="68.849999999999994" customHeight="1">
      <c r="B13" s="41"/>
      <c r="C13" s="42" t="s">
        <v>170</v>
      </c>
      <c r="D13" s="42" t="s">
        <v>200</v>
      </c>
      <c r="E13" s="42">
        <v>4</v>
      </c>
      <c r="F13" s="42"/>
      <c r="G13" s="68" t="s">
        <v>244</v>
      </c>
      <c r="H13" s="91"/>
      <c r="I13" s="91"/>
      <c r="J13" s="91"/>
      <c r="K13" s="91"/>
      <c r="L13" s="91"/>
      <c r="M13" s="91"/>
      <c r="N13" s="92"/>
    </row>
    <row r="14" spans="2:14" ht="68.849999999999994" customHeight="1">
      <c r="B14" s="41"/>
      <c r="C14" s="42" t="s">
        <v>170</v>
      </c>
      <c r="D14" s="42" t="s">
        <v>200</v>
      </c>
      <c r="E14" s="42"/>
      <c r="F14" s="42">
        <v>3</v>
      </c>
      <c r="G14" s="68" t="s">
        <v>245</v>
      </c>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4</v>
      </c>
      <c r="H41" s="17">
        <f>IFERROR(AVERAGEIFS($F$11:$F$20,$C$11:$C$20,G$37,$D$11:$D$20,$B41),"")</f>
        <v>3</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f>IFERROR(AVERAGEIFS($E$11:$E$20,$C$11:$C$20,M$37,$D$11:$D$20,$B46),"")</f>
        <v>4</v>
      </c>
      <c r="N46" s="18">
        <f>IFERROR(AVERAGEIFS($F$11:$F$20,$C$11:$C$20,M$37,$D$11:$D$20,$B46),"")</f>
        <v>3</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467" priority="2">
      <formula>COUNTIFS($C$11:$C$20,"A2")&gt;0</formula>
    </cfRule>
  </conditionalFormatting>
  <conditionalFormatting sqref="C25">
    <cfRule type="expression" dxfId="466" priority="3">
      <formula>COUNTIFS($C$11:$C$20,"A3")&gt;0</formula>
    </cfRule>
  </conditionalFormatting>
  <conditionalFormatting sqref="C26">
    <cfRule type="expression" dxfId="465" priority="4">
      <formula>COUNTIFS($C$11:$C$20,"A4")&gt;0</formula>
    </cfRule>
  </conditionalFormatting>
  <conditionalFormatting sqref="C27">
    <cfRule type="expression" dxfId="464" priority="5">
      <formula>COUNTIFS($C$11:$C$20,"A5")&gt;0</formula>
    </cfRule>
  </conditionalFormatting>
  <conditionalFormatting sqref="C28">
    <cfRule type="expression" dxfId="463" priority="6">
      <formula>COUNTIFS($C$11:$C$20,"A6")&gt;0</formula>
    </cfRule>
  </conditionalFormatting>
  <conditionalFormatting sqref="C23:H23">
    <cfRule type="expression" dxfId="462" priority="7">
      <formula>COUNTIFS($C$11:$C$20,"A1")&gt;0</formula>
    </cfRule>
  </conditionalFormatting>
  <conditionalFormatting sqref="I23">
    <cfRule type="expression" dxfId="461" priority="8">
      <formula>COUNTIFS($D$11:$D$20,"B1")&gt;0</formula>
    </cfRule>
  </conditionalFormatting>
  <conditionalFormatting sqref="I24">
    <cfRule type="expression" dxfId="460" priority="9">
      <formula>COUNTIFS($D$11:$D$20,"B2")&gt;0</formula>
    </cfRule>
  </conditionalFormatting>
  <conditionalFormatting sqref="I25">
    <cfRule type="expression" dxfId="459" priority="10">
      <formula>COUNTIFS($D$11:$D$20,"B3")&gt;0</formula>
    </cfRule>
  </conditionalFormatting>
  <conditionalFormatting sqref="I26">
    <cfRule type="expression" dxfId="458" priority="11">
      <formula>COUNTIFS($D$11:$D$20,"B4")&gt;0</formula>
    </cfRule>
  </conditionalFormatting>
  <conditionalFormatting sqref="I27">
    <cfRule type="expression" dxfId="457" priority="12">
      <formula>COUNTIFS($D$11:$D$20,"B5")&gt;0</formula>
    </cfRule>
  </conditionalFormatting>
  <conditionalFormatting sqref="I28">
    <cfRule type="expression" dxfId="456" priority="13">
      <formula>COUNTIFS($D$11:$D$20,"B6")&gt;0</formula>
    </cfRule>
  </conditionalFormatting>
  <conditionalFormatting sqref="I29">
    <cfRule type="expression" dxfId="455" priority="14">
      <formula>COUNTIFS($D$11:$D$20,"B7")&gt;0</formula>
    </cfRule>
  </conditionalFormatting>
  <conditionalFormatting sqref="I30">
    <cfRule type="expression" dxfId="454" priority="15">
      <formula>COUNTIFS($D$11:$D$20,"B8")&gt;0</formula>
    </cfRule>
  </conditionalFormatting>
  <conditionalFormatting sqref="I31">
    <cfRule type="expression" dxfId="453" priority="16">
      <formula>COUNTIFS($D$11:$D$20,"B9")&gt;0</formula>
    </cfRule>
  </conditionalFormatting>
  <conditionalFormatting sqref="I32">
    <cfRule type="expression" dxfId="452" priority="17">
      <formula>COUNTIFS($D$11:$D$20,"B10")&gt;0</formula>
    </cfRule>
  </conditionalFormatting>
  <conditionalFormatting sqref="I33">
    <cfRule type="expression" dxfId="451" priority="18">
      <formula>COUNTIFS($D$11:$D$20,"B11")&gt;0</formula>
    </cfRule>
  </conditionalFormatting>
  <conditionalFormatting sqref="I34">
    <cfRule type="expression" dxfId="45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154</v>
      </c>
      <c r="D4" s="89"/>
      <c r="E4" s="89"/>
      <c r="F4" s="89"/>
      <c r="G4" s="89"/>
      <c r="H4" s="89"/>
      <c r="I4" s="89"/>
      <c r="J4" s="89"/>
      <c r="K4" s="89"/>
      <c r="L4" s="89"/>
      <c r="M4" s="89"/>
      <c r="N4" s="90"/>
    </row>
    <row r="5" spans="2:14" ht="15" customHeight="1">
      <c r="B5" s="38" t="s">
        <v>155</v>
      </c>
      <c r="C5" s="67" t="s">
        <v>42</v>
      </c>
      <c r="D5" s="82"/>
      <c r="E5" s="82"/>
      <c r="F5" s="82"/>
      <c r="G5" s="82"/>
      <c r="H5" s="82"/>
      <c r="I5" s="83"/>
      <c r="J5" s="74" t="s">
        <v>156</v>
      </c>
      <c r="K5" s="82"/>
      <c r="L5" s="80" t="s">
        <v>41</v>
      </c>
      <c r="M5" s="82"/>
      <c r="N5" s="83"/>
    </row>
    <row r="6" spans="2:14" ht="15" customHeight="1">
      <c r="B6" s="38" t="s">
        <v>157</v>
      </c>
      <c r="C6" s="67"/>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246</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4.9000000000000004" customHeight="1">
      <c r="B11" s="41"/>
      <c r="C11" s="42" t="s">
        <v>171</v>
      </c>
      <c r="D11" s="42" t="s">
        <v>197</v>
      </c>
      <c r="E11" s="42">
        <v>3</v>
      </c>
      <c r="F11" s="42"/>
      <c r="G11" s="68"/>
      <c r="H11" s="91"/>
      <c r="I11" s="91"/>
      <c r="J11" s="91"/>
      <c r="K11" s="91"/>
      <c r="L11" s="91"/>
      <c r="M11" s="91"/>
      <c r="N11" s="92"/>
    </row>
    <row r="12" spans="2:14" ht="4.9000000000000004" customHeight="1">
      <c r="B12" s="41"/>
      <c r="C12" s="42" t="s">
        <v>171</v>
      </c>
      <c r="D12" s="42" t="s">
        <v>197</v>
      </c>
      <c r="E12" s="42"/>
      <c r="F12" s="42">
        <v>3</v>
      </c>
      <c r="G12" s="68"/>
      <c r="H12" s="91"/>
      <c r="I12" s="91"/>
      <c r="J12" s="91"/>
      <c r="K12" s="91"/>
      <c r="L12" s="91"/>
      <c r="M12" s="91"/>
      <c r="N12" s="92"/>
    </row>
    <row r="13" spans="2:14" ht="4.9000000000000004" customHeight="1">
      <c r="B13" s="41"/>
      <c r="C13" s="42" t="s">
        <v>193</v>
      </c>
      <c r="D13" s="42" t="s">
        <v>197</v>
      </c>
      <c r="E13" s="42">
        <v>2</v>
      </c>
      <c r="F13" s="42"/>
      <c r="G13" s="68"/>
      <c r="H13" s="91"/>
      <c r="I13" s="91"/>
      <c r="J13" s="91"/>
      <c r="K13" s="91"/>
      <c r="L13" s="91"/>
      <c r="M13" s="91"/>
      <c r="N13" s="92"/>
    </row>
    <row r="14" spans="2:14" ht="4.9000000000000004" customHeight="1">
      <c r="B14" s="41"/>
      <c r="C14" s="42" t="s">
        <v>193</v>
      </c>
      <c r="D14" s="42" t="s">
        <v>197</v>
      </c>
      <c r="E14" s="42"/>
      <c r="F14" s="42">
        <v>2</v>
      </c>
      <c r="G14" s="68"/>
      <c r="H14" s="91"/>
      <c r="I14" s="91"/>
      <c r="J14" s="91"/>
      <c r="K14" s="91"/>
      <c r="L14" s="91"/>
      <c r="M14" s="91"/>
      <c r="N14" s="92"/>
    </row>
    <row r="15" spans="2:14" ht="4.9000000000000004" customHeight="1">
      <c r="B15" s="41"/>
      <c r="C15" s="42" t="s">
        <v>170</v>
      </c>
      <c r="D15" s="42" t="s">
        <v>197</v>
      </c>
      <c r="E15" s="42">
        <v>4</v>
      </c>
      <c r="F15" s="42"/>
      <c r="G15" s="68"/>
      <c r="H15" s="91"/>
      <c r="I15" s="91"/>
      <c r="J15" s="91"/>
      <c r="K15" s="91"/>
      <c r="L15" s="91"/>
      <c r="M15" s="91"/>
      <c r="N15" s="92"/>
    </row>
    <row r="16" spans="2:14" ht="4.9000000000000004" customHeight="1">
      <c r="B16" s="41"/>
      <c r="C16" s="42" t="s">
        <v>170</v>
      </c>
      <c r="D16" s="42" t="s">
        <v>197</v>
      </c>
      <c r="E16" s="42"/>
      <c r="F16" s="42">
        <v>4</v>
      </c>
      <c r="G16" s="68"/>
      <c r="H16" s="91"/>
      <c r="I16" s="91"/>
      <c r="J16" s="91"/>
      <c r="K16" s="91"/>
      <c r="L16" s="91"/>
      <c r="M16" s="91"/>
      <c r="N16" s="92"/>
    </row>
    <row r="17" spans="2:14" ht="4.9000000000000004" customHeight="1">
      <c r="B17" s="41"/>
      <c r="C17" s="42" t="s">
        <v>171</v>
      </c>
      <c r="D17" s="42" t="s">
        <v>198</v>
      </c>
      <c r="E17" s="42">
        <v>2</v>
      </c>
      <c r="F17" s="42"/>
      <c r="G17" s="68"/>
      <c r="H17" s="91"/>
      <c r="I17" s="91"/>
      <c r="J17" s="91"/>
      <c r="K17" s="91"/>
      <c r="L17" s="91"/>
      <c r="M17" s="91"/>
      <c r="N17" s="92"/>
    </row>
    <row r="18" spans="2:14" ht="4.9000000000000004" customHeight="1">
      <c r="B18" s="41"/>
      <c r="C18" s="42" t="s">
        <v>171</v>
      </c>
      <c r="D18" s="42" t="s">
        <v>198</v>
      </c>
      <c r="E18" s="42"/>
      <c r="F18" s="42">
        <v>2</v>
      </c>
      <c r="G18" s="68"/>
      <c r="H18" s="91"/>
      <c r="I18" s="91"/>
      <c r="J18" s="91"/>
      <c r="K18" s="91"/>
      <c r="L18" s="91"/>
      <c r="M18" s="91"/>
      <c r="N18" s="92"/>
    </row>
    <row r="19" spans="2:14" ht="4.9000000000000004" customHeight="1">
      <c r="B19" s="41"/>
      <c r="C19" s="42" t="s">
        <v>193</v>
      </c>
      <c r="D19" s="42" t="s">
        <v>198</v>
      </c>
      <c r="E19" s="42">
        <v>3</v>
      </c>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f>IFERROR(AVERAGEIFS($E$11:$E$20,$C$11:$C$20,C$37,$D$11:$D$20,$B42),"")</f>
        <v>3</v>
      </c>
      <c r="D42" s="17">
        <f>IFERROR(AVERAGEIFS($F$11:$F$20,$C$11:$C$20,C$37,$D$11:$D$20,$B42),"")</f>
        <v>3</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f>IFERROR(AVERAGEIFS($E$11:$E$20,$C$11:$C$20,K$37,$D$11:$D$20,$B42),"")</f>
        <v>2</v>
      </c>
      <c r="L42" s="17">
        <f>IFERROR(AVERAGEIFS($F$11:$F$20,$C$11:$C$20,K$37,$D$11:$D$20,$B42),"")</f>
        <v>2</v>
      </c>
      <c r="M42" s="18">
        <f>IFERROR(AVERAGEIFS($E$11:$E$20,$C$11:$C$20,M$37,$D$11:$D$20,$B42),"")</f>
        <v>4</v>
      </c>
      <c r="N42" s="18">
        <f>IFERROR(AVERAGEIFS($F$11:$F$20,$C$11:$C$20,M$37,$D$11:$D$20,$B42),"")</f>
        <v>4</v>
      </c>
    </row>
    <row r="43" spans="2:14" ht="15" customHeight="1">
      <c r="B43" s="43" t="s">
        <v>198</v>
      </c>
      <c r="C43" s="17">
        <f>IFERROR(AVERAGEIFS($E$11:$E$20,$C$11:$C$20,C$37,$D$11:$D$20,$B43),"")</f>
        <v>2</v>
      </c>
      <c r="D43" s="17">
        <f>IFERROR(AVERAGEIFS($F$11:$F$20,$C$11:$C$20,C$37,$D$11:$D$20,$B43),"")</f>
        <v>2</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f>IFERROR(AVERAGEIFS($E$11:$E$20,$C$11:$C$20,K$37,$D$11:$D$20,$B43),"")</f>
        <v>3</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449" priority="2">
      <formula>COUNTIFS($C$11:$C$20,"A2")&gt;0</formula>
    </cfRule>
  </conditionalFormatting>
  <conditionalFormatting sqref="C25">
    <cfRule type="expression" dxfId="448" priority="3">
      <formula>COUNTIFS($C$11:$C$20,"A3")&gt;0</formula>
    </cfRule>
  </conditionalFormatting>
  <conditionalFormatting sqref="C26">
    <cfRule type="expression" dxfId="447" priority="4">
      <formula>COUNTIFS($C$11:$C$20,"A4")&gt;0</formula>
    </cfRule>
  </conditionalFormatting>
  <conditionalFormatting sqref="C27">
    <cfRule type="expression" dxfId="446" priority="5">
      <formula>COUNTIFS($C$11:$C$20,"A5")&gt;0</formula>
    </cfRule>
  </conditionalFormatting>
  <conditionalFormatting sqref="C28">
    <cfRule type="expression" dxfId="445" priority="6">
      <formula>COUNTIFS($C$11:$C$20,"A6")&gt;0</formula>
    </cfRule>
  </conditionalFormatting>
  <conditionalFormatting sqref="C23:H23">
    <cfRule type="expression" dxfId="444" priority="7">
      <formula>COUNTIFS($C$11:$C$20,"A1")&gt;0</formula>
    </cfRule>
  </conditionalFormatting>
  <conditionalFormatting sqref="I23">
    <cfRule type="expression" dxfId="443" priority="8">
      <formula>COUNTIFS($D$11:$D$20,"B1")&gt;0</formula>
    </cfRule>
  </conditionalFormatting>
  <conditionalFormatting sqref="I24">
    <cfRule type="expression" dxfId="442" priority="9">
      <formula>COUNTIFS($D$11:$D$20,"B2")&gt;0</formula>
    </cfRule>
  </conditionalFormatting>
  <conditionalFormatting sqref="I25">
    <cfRule type="expression" dxfId="441" priority="10">
      <formula>COUNTIFS($D$11:$D$20,"B3")&gt;0</formula>
    </cfRule>
  </conditionalFormatting>
  <conditionalFormatting sqref="I26">
    <cfRule type="expression" dxfId="440" priority="11">
      <formula>COUNTIFS($D$11:$D$20,"B4")&gt;0</formula>
    </cfRule>
  </conditionalFormatting>
  <conditionalFormatting sqref="I27">
    <cfRule type="expression" dxfId="439" priority="12">
      <formula>COUNTIFS($D$11:$D$20,"B5")&gt;0</formula>
    </cfRule>
  </conditionalFormatting>
  <conditionalFormatting sqref="I28">
    <cfRule type="expression" dxfId="438" priority="13">
      <formula>COUNTIFS($D$11:$D$20,"B6")&gt;0</formula>
    </cfRule>
  </conditionalFormatting>
  <conditionalFormatting sqref="I29">
    <cfRule type="expression" dxfId="437" priority="14">
      <formula>COUNTIFS($D$11:$D$20,"B7")&gt;0</formula>
    </cfRule>
  </conditionalFormatting>
  <conditionalFormatting sqref="I30">
    <cfRule type="expression" dxfId="436" priority="15">
      <formula>COUNTIFS($D$11:$D$20,"B8")&gt;0</formula>
    </cfRule>
  </conditionalFormatting>
  <conditionalFormatting sqref="I31">
    <cfRule type="expression" dxfId="435" priority="16">
      <formula>COUNTIFS($D$11:$D$20,"B9")&gt;0</formula>
    </cfRule>
  </conditionalFormatting>
  <conditionalFormatting sqref="I32">
    <cfRule type="expression" dxfId="434" priority="17">
      <formula>COUNTIFS($D$11:$D$20,"B10")&gt;0</formula>
    </cfRule>
  </conditionalFormatting>
  <conditionalFormatting sqref="I33">
    <cfRule type="expression" dxfId="433" priority="18">
      <formula>COUNTIFS($D$11:$D$20,"B11")&gt;0</formula>
    </cfRule>
  </conditionalFormatting>
  <conditionalFormatting sqref="I34">
    <cfRule type="expression" dxfId="432"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247</v>
      </c>
      <c r="D4" s="89"/>
      <c r="E4" s="89"/>
      <c r="F4" s="89"/>
      <c r="G4" s="89"/>
      <c r="H4" s="89"/>
      <c r="I4" s="89"/>
      <c r="J4" s="89"/>
      <c r="K4" s="89"/>
      <c r="L4" s="89"/>
      <c r="M4" s="89"/>
      <c r="N4" s="90"/>
    </row>
    <row r="5" spans="2:14" ht="15" customHeight="1">
      <c r="B5" s="38" t="s">
        <v>155</v>
      </c>
      <c r="C5" s="67" t="s">
        <v>44</v>
      </c>
      <c r="D5" s="82"/>
      <c r="E5" s="82"/>
      <c r="F5" s="82"/>
      <c r="G5" s="82"/>
      <c r="H5" s="82"/>
      <c r="I5" s="83"/>
      <c r="J5" s="74" t="s">
        <v>156</v>
      </c>
      <c r="K5" s="82"/>
      <c r="L5" s="80" t="s">
        <v>43</v>
      </c>
      <c r="M5" s="82"/>
      <c r="N5" s="83"/>
    </row>
    <row r="6" spans="2:14" ht="15" customHeight="1">
      <c r="B6" s="38" t="s">
        <v>157</v>
      </c>
      <c r="C6" s="67" t="s">
        <v>248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249</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166</v>
      </c>
      <c r="D11" s="42" t="s">
        <v>196</v>
      </c>
      <c r="E11" s="42">
        <v>5</v>
      </c>
      <c r="F11" s="42"/>
      <c r="G11" s="68" t="s">
        <v>250</v>
      </c>
      <c r="H11" s="91"/>
      <c r="I11" s="91"/>
      <c r="J11" s="91"/>
      <c r="K11" s="91"/>
      <c r="L11" s="91"/>
      <c r="M11" s="91"/>
      <c r="N11" s="92"/>
    </row>
    <row r="12" spans="2:14" ht="68.849999999999994" customHeight="1">
      <c r="B12" s="41"/>
      <c r="C12" s="42" t="s">
        <v>166</v>
      </c>
      <c r="D12" s="42" t="s">
        <v>195</v>
      </c>
      <c r="E12" s="42">
        <v>4</v>
      </c>
      <c r="F12" s="42"/>
      <c r="G12" s="68" t="s">
        <v>251</v>
      </c>
      <c r="H12" s="91"/>
      <c r="I12" s="91"/>
      <c r="J12" s="91"/>
      <c r="K12" s="91"/>
      <c r="L12" s="91"/>
      <c r="M12" s="91"/>
      <c r="N12" s="92"/>
    </row>
    <row r="13" spans="2:14" ht="52.9" customHeight="1">
      <c r="B13" s="41"/>
      <c r="C13" s="42" t="s">
        <v>166</v>
      </c>
      <c r="D13" s="42" t="s">
        <v>196</v>
      </c>
      <c r="E13" s="42">
        <v>4</v>
      </c>
      <c r="F13" s="42"/>
      <c r="G13" s="68" t="s">
        <v>252</v>
      </c>
      <c r="H13" s="91"/>
      <c r="I13" s="91"/>
      <c r="J13" s="91"/>
      <c r="K13" s="91"/>
      <c r="L13" s="91"/>
      <c r="M13" s="91"/>
      <c r="N13" s="92"/>
    </row>
    <row r="14" spans="2:14" ht="68.849999999999994" customHeight="1">
      <c r="B14" s="41"/>
      <c r="C14" s="42" t="s">
        <v>171</v>
      </c>
      <c r="D14" s="42" t="s">
        <v>200</v>
      </c>
      <c r="E14" s="42">
        <v>3</v>
      </c>
      <c r="F14" s="42"/>
      <c r="G14" s="68" t="s">
        <v>253</v>
      </c>
      <c r="H14" s="91"/>
      <c r="I14" s="91"/>
      <c r="J14" s="91"/>
      <c r="K14" s="91"/>
      <c r="L14" s="91"/>
      <c r="M14" s="91"/>
      <c r="N14" s="92"/>
    </row>
    <row r="15" spans="2:14" ht="68.849999999999994" customHeight="1">
      <c r="B15" s="41"/>
      <c r="C15" s="42" t="s">
        <v>169</v>
      </c>
      <c r="D15" s="42" t="s">
        <v>167</v>
      </c>
      <c r="E15" s="42"/>
      <c r="F15" s="42">
        <v>3</v>
      </c>
      <c r="G15" s="68" t="s">
        <v>254</v>
      </c>
      <c r="H15" s="91"/>
      <c r="I15" s="91"/>
      <c r="J15" s="91"/>
      <c r="K15" s="91"/>
      <c r="L15" s="91"/>
      <c r="M15" s="91"/>
      <c r="N15" s="92"/>
    </row>
    <row r="16" spans="2:14" ht="84.75" customHeight="1">
      <c r="B16" s="41"/>
      <c r="C16" s="42" t="s">
        <v>171</v>
      </c>
      <c r="D16" s="42" t="s">
        <v>172</v>
      </c>
      <c r="E16" s="42">
        <v>2</v>
      </c>
      <c r="F16" s="42"/>
      <c r="G16" s="68" t="s">
        <v>255</v>
      </c>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f>IFERROR(AVERAGEIFS($E$11:$E$20,$C$11:$C$20,E$37,$D$11:$D$20,$B40),"")</f>
        <v>4</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f>IFERROR(AVERAGEIFS($E$11:$E$20,$C$11:$C$20,E$37,$D$11:$D$20,$B41),"")</f>
        <v>4.5</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f>IFERROR(AVERAGEIFS($F$11:$F$20,$C$11:$C$20,I$37,$D$11:$D$20,$B45),"")</f>
        <v>3</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f>IFERROR(AVERAGEIFS($E$11:$E$20,$C$11:$C$20,C$37,$D$11:$D$20,$B46),"")</f>
        <v>3</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f>IFERROR(AVERAGEIFS($E$11:$E$20,$C$11:$C$20,C$37,$D$11:$D$20,$B49),"")</f>
        <v>2</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431" priority="2">
      <formula>COUNTIFS($C$11:$C$20,"A2")&gt;0</formula>
    </cfRule>
  </conditionalFormatting>
  <conditionalFormatting sqref="C25">
    <cfRule type="expression" dxfId="430" priority="3">
      <formula>COUNTIFS($C$11:$C$20,"A3")&gt;0</formula>
    </cfRule>
  </conditionalFormatting>
  <conditionalFormatting sqref="C26">
    <cfRule type="expression" dxfId="429" priority="4">
      <formula>COUNTIFS($C$11:$C$20,"A4")&gt;0</formula>
    </cfRule>
  </conditionalFormatting>
  <conditionalFormatting sqref="C27">
    <cfRule type="expression" dxfId="428" priority="5">
      <formula>COUNTIFS($C$11:$C$20,"A5")&gt;0</formula>
    </cfRule>
  </conditionalFormatting>
  <conditionalFormatting sqref="C28">
    <cfRule type="expression" dxfId="427" priority="6">
      <formula>COUNTIFS($C$11:$C$20,"A6")&gt;0</formula>
    </cfRule>
  </conditionalFormatting>
  <conditionalFormatting sqref="C23:H23">
    <cfRule type="expression" dxfId="426" priority="7">
      <formula>COUNTIFS($C$11:$C$20,"A1")&gt;0</formula>
    </cfRule>
  </conditionalFormatting>
  <conditionalFormatting sqref="I23">
    <cfRule type="expression" dxfId="425" priority="8">
      <formula>COUNTIFS($D$11:$D$20,"B1")&gt;0</formula>
    </cfRule>
  </conditionalFormatting>
  <conditionalFormatting sqref="I24">
    <cfRule type="expression" dxfId="424" priority="9">
      <formula>COUNTIFS($D$11:$D$20,"B2")&gt;0</formula>
    </cfRule>
  </conditionalFormatting>
  <conditionalFormatting sqref="I25">
    <cfRule type="expression" dxfId="423" priority="10">
      <formula>COUNTIFS($D$11:$D$20,"B3")&gt;0</formula>
    </cfRule>
  </conditionalFormatting>
  <conditionalFormatting sqref="I26">
    <cfRule type="expression" dxfId="422" priority="11">
      <formula>COUNTIFS($D$11:$D$20,"B4")&gt;0</formula>
    </cfRule>
  </conditionalFormatting>
  <conditionalFormatting sqref="I27">
    <cfRule type="expression" dxfId="421" priority="12">
      <formula>COUNTIFS($D$11:$D$20,"B5")&gt;0</formula>
    </cfRule>
  </conditionalFormatting>
  <conditionalFormatting sqref="I28">
    <cfRule type="expression" dxfId="420" priority="13">
      <formula>COUNTIFS($D$11:$D$20,"B6")&gt;0</formula>
    </cfRule>
  </conditionalFormatting>
  <conditionalFormatting sqref="I29">
    <cfRule type="expression" dxfId="419" priority="14">
      <formula>COUNTIFS($D$11:$D$20,"B7")&gt;0</formula>
    </cfRule>
  </conditionalFormatting>
  <conditionalFormatting sqref="I30">
    <cfRule type="expression" dxfId="418" priority="15">
      <formula>COUNTIFS($D$11:$D$20,"B8")&gt;0</formula>
    </cfRule>
  </conditionalFormatting>
  <conditionalFormatting sqref="I31">
    <cfRule type="expression" dxfId="417" priority="16">
      <formula>COUNTIFS($D$11:$D$20,"B9")&gt;0</formula>
    </cfRule>
  </conditionalFormatting>
  <conditionalFormatting sqref="I32">
    <cfRule type="expression" dxfId="416" priority="17">
      <formula>COUNTIFS($D$11:$D$20,"B10")&gt;0</formula>
    </cfRule>
  </conditionalFormatting>
  <conditionalFormatting sqref="I33">
    <cfRule type="expression" dxfId="415" priority="18">
      <formula>COUNTIFS($D$11:$D$20,"B11")&gt;0</formula>
    </cfRule>
  </conditionalFormatting>
  <conditionalFormatting sqref="I34">
    <cfRule type="expression" dxfId="414"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256</v>
      </c>
      <c r="D4" s="89"/>
      <c r="E4" s="89"/>
      <c r="F4" s="89"/>
      <c r="G4" s="89"/>
      <c r="H4" s="89"/>
      <c r="I4" s="89"/>
      <c r="J4" s="89"/>
      <c r="K4" s="89"/>
      <c r="L4" s="89"/>
      <c r="M4" s="89"/>
      <c r="N4" s="90"/>
    </row>
    <row r="5" spans="2:14" ht="15" customHeight="1">
      <c r="B5" s="38" t="s">
        <v>155</v>
      </c>
      <c r="C5" s="67" t="s">
        <v>46</v>
      </c>
      <c r="D5" s="82"/>
      <c r="E5" s="82"/>
      <c r="F5" s="82"/>
      <c r="G5" s="82"/>
      <c r="H5" s="82"/>
      <c r="I5" s="83"/>
      <c r="J5" s="74" t="s">
        <v>156</v>
      </c>
      <c r="K5" s="82"/>
      <c r="L5" s="80" t="s">
        <v>45</v>
      </c>
      <c r="M5" s="82"/>
      <c r="N5" s="83"/>
    </row>
    <row r="6" spans="2:14" ht="15" customHeight="1">
      <c r="B6" s="38" t="s">
        <v>157</v>
      </c>
      <c r="C6" s="67" t="s">
        <v>257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258</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168</v>
      </c>
      <c r="D11" s="42" t="s">
        <v>196</v>
      </c>
      <c r="E11" s="42">
        <v>4</v>
      </c>
      <c r="F11" s="42"/>
      <c r="G11" s="68" t="s">
        <v>259</v>
      </c>
      <c r="H11" s="91"/>
      <c r="I11" s="91"/>
      <c r="J11" s="91"/>
      <c r="K11" s="91"/>
      <c r="L11" s="91"/>
      <c r="M11" s="91"/>
      <c r="N11" s="92"/>
    </row>
    <row r="12" spans="2:14" ht="52.9" customHeight="1">
      <c r="B12" s="41"/>
      <c r="C12" s="42" t="s">
        <v>169</v>
      </c>
      <c r="D12" s="42" t="s">
        <v>167</v>
      </c>
      <c r="E12" s="42"/>
      <c r="F12" s="42">
        <v>4</v>
      </c>
      <c r="G12" s="68" t="s">
        <v>260</v>
      </c>
      <c r="H12" s="91"/>
      <c r="I12" s="91"/>
      <c r="J12" s="91"/>
      <c r="K12" s="91"/>
      <c r="L12" s="91"/>
      <c r="M12" s="91"/>
      <c r="N12" s="92"/>
    </row>
    <row r="13" spans="2:14" ht="68.849999999999994" customHeight="1">
      <c r="B13" s="41"/>
      <c r="C13" s="42" t="s">
        <v>169</v>
      </c>
      <c r="D13" s="42" t="s">
        <v>202</v>
      </c>
      <c r="E13" s="42"/>
      <c r="F13" s="42">
        <v>3</v>
      </c>
      <c r="G13" s="68" t="s">
        <v>261</v>
      </c>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4</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f>IFERROR(AVERAGEIFS($F$11:$F$20,$C$11:$C$20,I$37,$D$11:$D$20,$B45),"")</f>
        <v>4</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f>IFERROR(AVERAGEIFS($F$11:$F$20,$C$11:$C$20,I$37,$D$11:$D$20,$B48),"")</f>
        <v>3</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413" priority="2">
      <formula>COUNTIFS($C$11:$C$20,"A2")&gt;0</formula>
    </cfRule>
  </conditionalFormatting>
  <conditionalFormatting sqref="C25">
    <cfRule type="expression" dxfId="412" priority="3">
      <formula>COUNTIFS($C$11:$C$20,"A3")&gt;0</formula>
    </cfRule>
  </conditionalFormatting>
  <conditionalFormatting sqref="C26">
    <cfRule type="expression" dxfId="411" priority="4">
      <formula>COUNTIFS($C$11:$C$20,"A4")&gt;0</formula>
    </cfRule>
  </conditionalFormatting>
  <conditionalFormatting sqref="C27">
    <cfRule type="expression" dxfId="410" priority="5">
      <formula>COUNTIFS($C$11:$C$20,"A5")&gt;0</formula>
    </cfRule>
  </conditionalFormatting>
  <conditionalFormatting sqref="C28">
    <cfRule type="expression" dxfId="409" priority="6">
      <formula>COUNTIFS($C$11:$C$20,"A6")&gt;0</formula>
    </cfRule>
  </conditionalFormatting>
  <conditionalFormatting sqref="C23:H23">
    <cfRule type="expression" dxfId="408" priority="7">
      <formula>COUNTIFS($C$11:$C$20,"A1")&gt;0</formula>
    </cfRule>
  </conditionalFormatting>
  <conditionalFormatting sqref="I23">
    <cfRule type="expression" dxfId="407" priority="8">
      <formula>COUNTIFS($D$11:$D$20,"B1")&gt;0</formula>
    </cfRule>
  </conditionalFormatting>
  <conditionalFormatting sqref="I24">
    <cfRule type="expression" dxfId="406" priority="9">
      <formula>COUNTIFS($D$11:$D$20,"B2")&gt;0</formula>
    </cfRule>
  </conditionalFormatting>
  <conditionalFormatting sqref="I25">
    <cfRule type="expression" dxfId="405" priority="10">
      <formula>COUNTIFS($D$11:$D$20,"B3")&gt;0</formula>
    </cfRule>
  </conditionalFormatting>
  <conditionalFormatting sqref="I26">
    <cfRule type="expression" dxfId="404" priority="11">
      <formula>COUNTIFS($D$11:$D$20,"B4")&gt;0</formula>
    </cfRule>
  </conditionalFormatting>
  <conditionalFormatting sqref="I27">
    <cfRule type="expression" dxfId="403" priority="12">
      <formula>COUNTIFS($D$11:$D$20,"B5")&gt;0</formula>
    </cfRule>
  </conditionalFormatting>
  <conditionalFormatting sqref="I28">
    <cfRule type="expression" dxfId="402" priority="13">
      <formula>COUNTIFS($D$11:$D$20,"B6")&gt;0</formula>
    </cfRule>
  </conditionalFormatting>
  <conditionalFormatting sqref="I29">
    <cfRule type="expression" dxfId="401" priority="14">
      <formula>COUNTIFS($D$11:$D$20,"B7")&gt;0</formula>
    </cfRule>
  </conditionalFormatting>
  <conditionalFormatting sqref="I30">
    <cfRule type="expression" dxfId="400" priority="15">
      <formula>COUNTIFS($D$11:$D$20,"B8")&gt;0</formula>
    </cfRule>
  </conditionalFormatting>
  <conditionalFormatting sqref="I31">
    <cfRule type="expression" dxfId="399" priority="16">
      <formula>COUNTIFS($D$11:$D$20,"B9")&gt;0</formula>
    </cfRule>
  </conditionalFormatting>
  <conditionalFormatting sqref="I32">
    <cfRule type="expression" dxfId="398" priority="17">
      <formula>COUNTIFS($D$11:$D$20,"B10")&gt;0</formula>
    </cfRule>
  </conditionalFormatting>
  <conditionalFormatting sqref="I33">
    <cfRule type="expression" dxfId="397" priority="18">
      <formula>COUNTIFS($D$11:$D$20,"B11")&gt;0</formula>
    </cfRule>
  </conditionalFormatting>
  <conditionalFormatting sqref="I34">
    <cfRule type="expression" dxfId="39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206</v>
      </c>
      <c r="D4" s="89"/>
      <c r="E4" s="89"/>
      <c r="F4" s="89"/>
      <c r="G4" s="89"/>
      <c r="H4" s="89"/>
      <c r="I4" s="89"/>
      <c r="J4" s="89"/>
      <c r="K4" s="89"/>
      <c r="L4" s="89"/>
      <c r="M4" s="89"/>
      <c r="N4" s="90"/>
    </row>
    <row r="5" spans="2:14" ht="15" customHeight="1">
      <c r="B5" s="38" t="s">
        <v>155</v>
      </c>
      <c r="C5" s="67" t="s">
        <v>49</v>
      </c>
      <c r="D5" s="82"/>
      <c r="E5" s="82"/>
      <c r="F5" s="82"/>
      <c r="G5" s="82"/>
      <c r="H5" s="82"/>
      <c r="I5" s="83"/>
      <c r="J5" s="74" t="s">
        <v>156</v>
      </c>
      <c r="K5" s="82"/>
      <c r="L5" s="80" t="s">
        <v>48</v>
      </c>
      <c r="M5" s="82"/>
      <c r="N5" s="83"/>
    </row>
    <row r="6" spans="2:14" ht="15" customHeight="1">
      <c r="B6" s="38" t="s">
        <v>157</v>
      </c>
      <c r="C6" s="67" t="s">
        <v>207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262</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36.75" customHeight="1">
      <c r="B11" s="41"/>
      <c r="C11" s="42" t="s">
        <v>193</v>
      </c>
      <c r="D11" s="42" t="s">
        <v>199</v>
      </c>
      <c r="E11" s="42"/>
      <c r="F11" s="42">
        <v>5</v>
      </c>
      <c r="G11" s="68" t="s">
        <v>263</v>
      </c>
      <c r="H11" s="91"/>
      <c r="I11" s="91"/>
      <c r="J11" s="91"/>
      <c r="K11" s="91"/>
      <c r="L11" s="91"/>
      <c r="M11" s="91"/>
      <c r="N11" s="92"/>
    </row>
    <row r="12" spans="2:14" ht="52.9" customHeight="1">
      <c r="B12" s="41"/>
      <c r="C12" s="42" t="s">
        <v>166</v>
      </c>
      <c r="D12" s="42" t="s">
        <v>195</v>
      </c>
      <c r="E12" s="42"/>
      <c r="F12" s="42">
        <v>5</v>
      </c>
      <c r="G12" s="68" t="s">
        <v>264</v>
      </c>
      <c r="H12" s="91"/>
      <c r="I12" s="91"/>
      <c r="J12" s="91"/>
      <c r="K12" s="91"/>
      <c r="L12" s="91"/>
      <c r="M12" s="91"/>
      <c r="N12" s="92"/>
    </row>
    <row r="13" spans="2:14" ht="52.9" customHeight="1">
      <c r="B13" s="41"/>
      <c r="C13" s="42" t="s">
        <v>166</v>
      </c>
      <c r="D13" s="42" t="s">
        <v>195</v>
      </c>
      <c r="E13" s="42">
        <v>4</v>
      </c>
      <c r="F13" s="42"/>
      <c r="G13" s="68" t="s">
        <v>265</v>
      </c>
      <c r="H13" s="91"/>
      <c r="I13" s="91"/>
      <c r="J13" s="91"/>
      <c r="K13" s="91"/>
      <c r="L13" s="91"/>
      <c r="M13" s="91"/>
      <c r="N13" s="92"/>
    </row>
    <row r="14" spans="2:14" ht="52.9" customHeight="1">
      <c r="B14" s="41"/>
      <c r="C14" s="42" t="s">
        <v>166</v>
      </c>
      <c r="D14" s="42" t="s">
        <v>196</v>
      </c>
      <c r="E14" s="42"/>
      <c r="F14" s="42">
        <v>4</v>
      </c>
      <c r="G14" s="68" t="s">
        <v>266</v>
      </c>
      <c r="H14" s="91"/>
      <c r="I14" s="91"/>
      <c r="J14" s="91"/>
      <c r="K14" s="91"/>
      <c r="L14" s="91"/>
      <c r="M14" s="91"/>
      <c r="N14" s="92"/>
    </row>
    <row r="15" spans="2:14" ht="36.75" customHeight="1">
      <c r="B15" s="41"/>
      <c r="C15" s="42" t="s">
        <v>166</v>
      </c>
      <c r="D15" s="42" t="s">
        <v>195</v>
      </c>
      <c r="E15" s="42"/>
      <c r="F15" s="42">
        <v>4</v>
      </c>
      <c r="G15" s="68" t="s">
        <v>267</v>
      </c>
      <c r="H15" s="91"/>
      <c r="I15" s="91"/>
      <c r="J15" s="91"/>
      <c r="K15" s="91"/>
      <c r="L15" s="91"/>
      <c r="M15" s="91"/>
      <c r="N15" s="92"/>
    </row>
    <row r="16" spans="2:14" ht="52.9" customHeight="1">
      <c r="B16" s="41"/>
      <c r="C16" s="42" t="s">
        <v>193</v>
      </c>
      <c r="D16" s="42" t="s">
        <v>194</v>
      </c>
      <c r="E16" s="42"/>
      <c r="F16" s="42">
        <v>4</v>
      </c>
      <c r="G16" s="68" t="s">
        <v>268</v>
      </c>
      <c r="H16" s="91"/>
      <c r="I16" s="91"/>
      <c r="J16" s="91"/>
      <c r="K16" s="91"/>
      <c r="L16" s="91"/>
      <c r="M16" s="91"/>
      <c r="N16" s="92"/>
    </row>
    <row r="17" spans="2:14" ht="52.9" customHeight="1">
      <c r="B17" s="41"/>
      <c r="C17" s="42" t="s">
        <v>168</v>
      </c>
      <c r="D17" s="42" t="s">
        <v>196</v>
      </c>
      <c r="E17" s="42"/>
      <c r="F17" s="42">
        <v>4</v>
      </c>
      <c r="G17" s="68" t="s">
        <v>269</v>
      </c>
      <c r="H17" s="91"/>
      <c r="I17" s="91"/>
      <c r="J17" s="91"/>
      <c r="K17" s="91"/>
      <c r="L17" s="91"/>
      <c r="M17" s="91"/>
      <c r="N17" s="92"/>
    </row>
    <row r="18" spans="2:14" ht="52.9" customHeight="1">
      <c r="B18" s="41"/>
      <c r="C18" s="42" t="s">
        <v>170</v>
      </c>
      <c r="D18" s="42" t="s">
        <v>197</v>
      </c>
      <c r="E18" s="42">
        <v>4</v>
      </c>
      <c r="F18" s="42"/>
      <c r="G18" s="68" t="s">
        <v>270</v>
      </c>
      <c r="H18" s="91"/>
      <c r="I18" s="91"/>
      <c r="J18" s="91"/>
      <c r="K18" s="91"/>
      <c r="L18" s="91"/>
      <c r="M18" s="91"/>
      <c r="N18" s="92"/>
    </row>
    <row r="19" spans="2:14" ht="52.9" customHeight="1">
      <c r="B19" s="41"/>
      <c r="C19" s="42" t="s">
        <v>166</v>
      </c>
      <c r="D19" s="42" t="s">
        <v>195</v>
      </c>
      <c r="E19" s="42"/>
      <c r="F19" s="42">
        <v>4</v>
      </c>
      <c r="G19" s="68" t="s">
        <v>271</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f>IFERROR(AVERAGEIFS($F$11:$F$20,$C$11:$C$20,K$37,$D$11:$D$20,$B39),"")</f>
        <v>4</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f>IFERROR(AVERAGEIFS($E$11:$E$20,$C$11:$C$20,E$37,$D$11:$D$20,$B40),"")</f>
        <v>4</v>
      </c>
      <c r="F40" s="18">
        <f>IFERROR(AVERAGEIFS($F$11:$F$20,$C$11:$C$20,E$37,$D$11:$D$20,$B40),"")</f>
        <v>4.333333333333333</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f>IFERROR(AVERAGEIFS($F$11:$F$20,$C$11:$C$20,E$37,$D$11:$D$20,$B41),"")</f>
        <v>4</v>
      </c>
      <c r="G41" s="17" t="str">
        <f>IFERROR(AVERAGEIFS($E$11:$E$20,$C$11:$C$20,G$37,$D$11:$D$20,$B41),"")</f>
        <v/>
      </c>
      <c r="H41" s="17">
        <f>IFERROR(AVERAGEIFS($F$11:$F$20,$C$11:$C$20,G$37,$D$11:$D$20,$B41),"")</f>
        <v>4</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f>IFERROR(AVERAGEIFS($E$11:$E$20,$C$11:$C$20,M$37,$D$11:$D$20,$B42),"")</f>
        <v>4</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f>IFERROR(AVERAGEIFS($F$11:$F$20,$C$11:$C$20,K$37,$D$11:$D$20,$B44),"")</f>
        <v>5</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95" priority="2">
      <formula>COUNTIFS($C$11:$C$20,"A2")&gt;0</formula>
    </cfRule>
  </conditionalFormatting>
  <conditionalFormatting sqref="C25">
    <cfRule type="expression" dxfId="394" priority="3">
      <formula>COUNTIFS($C$11:$C$20,"A3")&gt;0</formula>
    </cfRule>
  </conditionalFormatting>
  <conditionalFormatting sqref="C26">
    <cfRule type="expression" dxfId="393" priority="4">
      <formula>COUNTIFS($C$11:$C$20,"A4")&gt;0</formula>
    </cfRule>
  </conditionalFormatting>
  <conditionalFormatting sqref="C27">
    <cfRule type="expression" dxfId="392" priority="5">
      <formula>COUNTIFS($C$11:$C$20,"A5")&gt;0</formula>
    </cfRule>
  </conditionalFormatting>
  <conditionalFormatting sqref="C28">
    <cfRule type="expression" dxfId="391" priority="6">
      <formula>COUNTIFS($C$11:$C$20,"A6")&gt;0</formula>
    </cfRule>
  </conditionalFormatting>
  <conditionalFormatting sqref="C23:H23">
    <cfRule type="expression" dxfId="390" priority="7">
      <formula>COUNTIFS($C$11:$C$20,"A1")&gt;0</formula>
    </cfRule>
  </conditionalFormatting>
  <conditionalFormatting sqref="I23">
    <cfRule type="expression" dxfId="389" priority="8">
      <formula>COUNTIFS($D$11:$D$20,"B1")&gt;0</formula>
    </cfRule>
  </conditionalFormatting>
  <conditionalFormatting sqref="I24">
    <cfRule type="expression" dxfId="388" priority="9">
      <formula>COUNTIFS($D$11:$D$20,"B2")&gt;0</formula>
    </cfRule>
  </conditionalFormatting>
  <conditionalFormatting sqref="I25">
    <cfRule type="expression" dxfId="387" priority="10">
      <formula>COUNTIFS($D$11:$D$20,"B3")&gt;0</formula>
    </cfRule>
  </conditionalFormatting>
  <conditionalFormatting sqref="I26">
    <cfRule type="expression" dxfId="386" priority="11">
      <formula>COUNTIFS($D$11:$D$20,"B4")&gt;0</formula>
    </cfRule>
  </conditionalFormatting>
  <conditionalFormatting sqref="I27">
    <cfRule type="expression" dxfId="385" priority="12">
      <formula>COUNTIFS($D$11:$D$20,"B5")&gt;0</formula>
    </cfRule>
  </conditionalFormatting>
  <conditionalFormatting sqref="I28">
    <cfRule type="expression" dxfId="384" priority="13">
      <formula>COUNTIFS($D$11:$D$20,"B6")&gt;0</formula>
    </cfRule>
  </conditionalFormatting>
  <conditionalFormatting sqref="I29">
    <cfRule type="expression" dxfId="383" priority="14">
      <formula>COUNTIFS($D$11:$D$20,"B7")&gt;0</formula>
    </cfRule>
  </conditionalFormatting>
  <conditionalFormatting sqref="I30">
    <cfRule type="expression" dxfId="382" priority="15">
      <formula>COUNTIFS($D$11:$D$20,"B8")&gt;0</formula>
    </cfRule>
  </conditionalFormatting>
  <conditionalFormatting sqref="I31">
    <cfRule type="expression" dxfId="381" priority="16">
      <formula>COUNTIFS($D$11:$D$20,"B9")&gt;0</formula>
    </cfRule>
  </conditionalFormatting>
  <conditionalFormatting sqref="I32">
    <cfRule type="expression" dxfId="380" priority="17">
      <formula>COUNTIFS($D$11:$D$20,"B10")&gt;0</formula>
    </cfRule>
  </conditionalFormatting>
  <conditionalFormatting sqref="I33">
    <cfRule type="expression" dxfId="379" priority="18">
      <formula>COUNTIFS($D$11:$D$20,"B11")&gt;0</formula>
    </cfRule>
  </conditionalFormatting>
  <conditionalFormatting sqref="I34">
    <cfRule type="expression" dxfId="37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51</v>
      </c>
      <c r="D5" s="82"/>
      <c r="E5" s="82"/>
      <c r="F5" s="82"/>
      <c r="G5" s="82"/>
      <c r="H5" s="82"/>
      <c r="I5" s="83"/>
      <c r="J5" s="74" t="s">
        <v>156</v>
      </c>
      <c r="K5" s="82"/>
      <c r="L5" s="80" t="s">
        <v>50</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274</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200</v>
      </c>
      <c r="E11" s="42">
        <v>5</v>
      </c>
      <c r="F11" s="42"/>
      <c r="G11" s="68" t="s">
        <v>275</v>
      </c>
      <c r="H11" s="91"/>
      <c r="I11" s="91"/>
      <c r="J11" s="91"/>
      <c r="K11" s="91"/>
      <c r="L11" s="91"/>
      <c r="M11" s="91"/>
      <c r="N11" s="92"/>
    </row>
    <row r="12" spans="2:14" ht="68.849999999999994" customHeight="1">
      <c r="B12" s="41"/>
      <c r="C12" s="42" t="s">
        <v>169</v>
      </c>
      <c r="D12" s="42" t="s">
        <v>200</v>
      </c>
      <c r="E12" s="42">
        <v>4</v>
      </c>
      <c r="F12" s="42"/>
      <c r="G12" s="68" t="s">
        <v>276</v>
      </c>
      <c r="H12" s="91"/>
      <c r="I12" s="91"/>
      <c r="J12" s="91"/>
      <c r="K12" s="91"/>
      <c r="L12" s="91"/>
      <c r="M12" s="91"/>
      <c r="N12" s="92"/>
    </row>
    <row r="13" spans="2:14" ht="84.75" customHeight="1">
      <c r="B13" s="41"/>
      <c r="C13" s="42" t="s">
        <v>169</v>
      </c>
      <c r="D13" s="42" t="s">
        <v>200</v>
      </c>
      <c r="E13" s="42">
        <v>4</v>
      </c>
      <c r="F13" s="42"/>
      <c r="G13" s="68" t="s">
        <v>277</v>
      </c>
      <c r="H13" s="91"/>
      <c r="I13" s="91"/>
      <c r="J13" s="91"/>
      <c r="K13" s="91"/>
      <c r="L13" s="91"/>
      <c r="M13" s="91"/>
      <c r="N13" s="92"/>
    </row>
    <row r="14" spans="2:14" ht="68.849999999999994" customHeight="1">
      <c r="B14" s="41"/>
      <c r="C14" s="42" t="s">
        <v>166</v>
      </c>
      <c r="D14" s="42" t="s">
        <v>202</v>
      </c>
      <c r="E14" s="42">
        <v>4</v>
      </c>
      <c r="F14" s="42"/>
      <c r="G14" s="68" t="s">
        <v>278</v>
      </c>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4.333333333333333</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4</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77" priority="2">
      <formula>COUNTIFS($C$11:$C$20,"A2")&gt;0</formula>
    </cfRule>
  </conditionalFormatting>
  <conditionalFormatting sqref="C25">
    <cfRule type="expression" dxfId="376" priority="3">
      <formula>COUNTIFS($C$11:$C$20,"A3")&gt;0</formula>
    </cfRule>
  </conditionalFormatting>
  <conditionalFormatting sqref="C26">
    <cfRule type="expression" dxfId="375" priority="4">
      <formula>COUNTIFS($C$11:$C$20,"A4")&gt;0</formula>
    </cfRule>
  </conditionalFormatting>
  <conditionalFormatting sqref="C27">
    <cfRule type="expression" dxfId="374" priority="5">
      <formula>COUNTIFS($C$11:$C$20,"A5")&gt;0</formula>
    </cfRule>
  </conditionalFormatting>
  <conditionalFormatting sqref="C28">
    <cfRule type="expression" dxfId="373" priority="6">
      <formula>COUNTIFS($C$11:$C$20,"A6")&gt;0</formula>
    </cfRule>
  </conditionalFormatting>
  <conditionalFormatting sqref="C23:H23">
    <cfRule type="expression" dxfId="372" priority="7">
      <formula>COUNTIFS($C$11:$C$20,"A1")&gt;0</formula>
    </cfRule>
  </conditionalFormatting>
  <conditionalFormatting sqref="I23">
    <cfRule type="expression" dxfId="371" priority="8">
      <formula>COUNTIFS($D$11:$D$20,"B1")&gt;0</formula>
    </cfRule>
  </conditionalFormatting>
  <conditionalFormatting sqref="I24">
    <cfRule type="expression" dxfId="370" priority="9">
      <formula>COUNTIFS($D$11:$D$20,"B2")&gt;0</formula>
    </cfRule>
  </conditionalFormatting>
  <conditionalFormatting sqref="I25">
    <cfRule type="expression" dxfId="369" priority="10">
      <formula>COUNTIFS($D$11:$D$20,"B3")&gt;0</formula>
    </cfRule>
  </conditionalFormatting>
  <conditionalFormatting sqref="I26">
    <cfRule type="expression" dxfId="368" priority="11">
      <formula>COUNTIFS($D$11:$D$20,"B4")&gt;0</formula>
    </cfRule>
  </conditionalFormatting>
  <conditionalFormatting sqref="I27">
    <cfRule type="expression" dxfId="367" priority="12">
      <formula>COUNTIFS($D$11:$D$20,"B5")&gt;0</formula>
    </cfRule>
  </conditionalFormatting>
  <conditionalFormatting sqref="I28">
    <cfRule type="expression" dxfId="366" priority="13">
      <formula>COUNTIFS($D$11:$D$20,"B6")&gt;0</formula>
    </cfRule>
  </conditionalFormatting>
  <conditionalFormatting sqref="I29">
    <cfRule type="expression" dxfId="365" priority="14">
      <formula>COUNTIFS($D$11:$D$20,"B7")&gt;0</formula>
    </cfRule>
  </conditionalFormatting>
  <conditionalFormatting sqref="I30">
    <cfRule type="expression" dxfId="364" priority="15">
      <formula>COUNTIFS($D$11:$D$20,"B8")&gt;0</formula>
    </cfRule>
  </conditionalFormatting>
  <conditionalFormatting sqref="I31">
    <cfRule type="expression" dxfId="363" priority="16">
      <formula>COUNTIFS($D$11:$D$20,"B9")&gt;0</formula>
    </cfRule>
  </conditionalFormatting>
  <conditionalFormatting sqref="I32">
    <cfRule type="expression" dxfId="362" priority="17">
      <formula>COUNTIFS($D$11:$D$20,"B10")&gt;0</formula>
    </cfRule>
  </conditionalFormatting>
  <conditionalFormatting sqref="I33">
    <cfRule type="expression" dxfId="361" priority="18">
      <formula>COUNTIFS($D$11:$D$20,"B11")&gt;0</formula>
    </cfRule>
  </conditionalFormatting>
  <conditionalFormatting sqref="I34">
    <cfRule type="expression" dxfId="36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53</v>
      </c>
      <c r="D5" s="82"/>
      <c r="E5" s="82"/>
      <c r="F5" s="82"/>
      <c r="G5" s="82"/>
      <c r="H5" s="82"/>
      <c r="I5" s="83"/>
      <c r="J5" s="74" t="s">
        <v>156</v>
      </c>
      <c r="K5" s="82"/>
      <c r="L5" s="80" t="s">
        <v>52</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279</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196</v>
      </c>
      <c r="E11" s="42">
        <v>4</v>
      </c>
      <c r="F11" s="42"/>
      <c r="G11" s="68" t="s">
        <v>280</v>
      </c>
      <c r="H11" s="91"/>
      <c r="I11" s="91"/>
      <c r="J11" s="91"/>
      <c r="K11" s="91"/>
      <c r="L11" s="91"/>
      <c r="M11" s="91"/>
      <c r="N11" s="92"/>
    </row>
    <row r="12" spans="2:14" ht="84.75" customHeight="1">
      <c r="B12" s="41"/>
      <c r="C12" s="42" t="s">
        <v>169</v>
      </c>
      <c r="D12" s="42" t="s">
        <v>196</v>
      </c>
      <c r="E12" s="42">
        <v>4</v>
      </c>
      <c r="F12" s="42"/>
      <c r="G12" s="68" t="s">
        <v>281</v>
      </c>
      <c r="H12" s="91"/>
      <c r="I12" s="91"/>
      <c r="J12" s="91"/>
      <c r="K12" s="91"/>
      <c r="L12" s="91"/>
      <c r="M12" s="91"/>
      <c r="N12" s="92"/>
    </row>
    <row r="13" spans="2:14" ht="36.75" customHeight="1">
      <c r="B13" s="41"/>
      <c r="C13" s="42" t="s">
        <v>169</v>
      </c>
      <c r="D13" s="42" t="s">
        <v>196</v>
      </c>
      <c r="E13" s="42">
        <v>4</v>
      </c>
      <c r="F13" s="42"/>
      <c r="G13" s="68" t="s">
        <v>282</v>
      </c>
      <c r="H13" s="91"/>
      <c r="I13" s="91"/>
      <c r="J13" s="91"/>
      <c r="K13" s="91"/>
      <c r="L13" s="91"/>
      <c r="M13" s="91"/>
      <c r="N13" s="92"/>
    </row>
    <row r="14" spans="2:14" ht="52.9" customHeight="1">
      <c r="B14" s="41"/>
      <c r="C14" s="42" t="s">
        <v>171</v>
      </c>
      <c r="D14" s="42" t="s">
        <v>167</v>
      </c>
      <c r="E14" s="42">
        <v>3</v>
      </c>
      <c r="F14" s="42"/>
      <c r="G14" s="68" t="s">
        <v>283</v>
      </c>
      <c r="H14" s="91"/>
      <c r="I14" s="91"/>
      <c r="J14" s="91"/>
      <c r="K14" s="91"/>
      <c r="L14" s="91"/>
      <c r="M14" s="91"/>
      <c r="N14" s="92"/>
    </row>
    <row r="15" spans="2:14" ht="52.9" customHeight="1">
      <c r="B15" s="41"/>
      <c r="C15" s="42" t="s">
        <v>166</v>
      </c>
      <c r="D15" s="42" t="s">
        <v>202</v>
      </c>
      <c r="E15" s="42">
        <v>3</v>
      </c>
      <c r="F15" s="42"/>
      <c r="G15" s="68" t="s">
        <v>284</v>
      </c>
      <c r="H15" s="91"/>
      <c r="I15" s="91"/>
      <c r="J15" s="91"/>
      <c r="K15" s="91"/>
      <c r="L15" s="91"/>
      <c r="M15" s="91"/>
      <c r="N15" s="92"/>
    </row>
    <row r="16" spans="2:14" ht="36.75" customHeight="1">
      <c r="B16" s="41"/>
      <c r="C16" s="42" t="s">
        <v>168</v>
      </c>
      <c r="D16" s="42" t="s">
        <v>202</v>
      </c>
      <c r="E16" s="42">
        <v>3</v>
      </c>
      <c r="F16" s="42"/>
      <c r="G16" s="68" t="s">
        <v>285</v>
      </c>
      <c r="H16" s="91"/>
      <c r="I16" s="91"/>
      <c r="J16" s="91"/>
      <c r="K16" s="91"/>
      <c r="L16" s="91"/>
      <c r="M16" s="91"/>
      <c r="N16" s="92"/>
    </row>
    <row r="17" spans="2:14" ht="52.9" customHeight="1">
      <c r="B17" s="41"/>
      <c r="C17" s="42" t="s">
        <v>168</v>
      </c>
      <c r="D17" s="42" t="s">
        <v>172</v>
      </c>
      <c r="E17" s="42">
        <v>2</v>
      </c>
      <c r="F17" s="42"/>
      <c r="G17" s="68" t="s">
        <v>286</v>
      </c>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f>IFERROR(AVERAGEIFS($E$11:$E$20,$C$11:$C$20,I$37,$D$11:$D$20,$B41),"")</f>
        <v>4</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f>IFERROR(AVERAGEIFS($E$11:$E$20,$C$11:$C$20,C$37,$D$11:$D$20,$B45),"")</f>
        <v>3</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3</v>
      </c>
      <c r="F48" s="18" t="str">
        <f>IFERROR(AVERAGEIFS($F$11:$F$20,$C$11:$C$20,E$37,$D$11:$D$20,$B48),"")</f>
        <v/>
      </c>
      <c r="G48" s="17">
        <f>IFERROR(AVERAGEIFS($E$11:$E$20,$C$11:$C$20,G$37,$D$11:$D$20,$B48),"")</f>
        <v>3</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f>IFERROR(AVERAGEIFS($E$11:$E$20,$C$11:$C$20,G$37,$D$11:$D$20,$B49),"")</f>
        <v>2</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59" priority="2">
      <formula>COUNTIFS($C$11:$C$20,"A2")&gt;0</formula>
    </cfRule>
  </conditionalFormatting>
  <conditionalFormatting sqref="C25">
    <cfRule type="expression" dxfId="358" priority="3">
      <formula>COUNTIFS($C$11:$C$20,"A3")&gt;0</formula>
    </cfRule>
  </conditionalFormatting>
  <conditionalFormatting sqref="C26">
    <cfRule type="expression" dxfId="357" priority="4">
      <formula>COUNTIFS($C$11:$C$20,"A4")&gt;0</formula>
    </cfRule>
  </conditionalFormatting>
  <conditionalFormatting sqref="C27">
    <cfRule type="expression" dxfId="356" priority="5">
      <formula>COUNTIFS($C$11:$C$20,"A5")&gt;0</formula>
    </cfRule>
  </conditionalFormatting>
  <conditionalFormatting sqref="C28">
    <cfRule type="expression" dxfId="355" priority="6">
      <formula>COUNTIFS($C$11:$C$20,"A6")&gt;0</formula>
    </cfRule>
  </conditionalFormatting>
  <conditionalFormatting sqref="C23:H23">
    <cfRule type="expression" dxfId="354" priority="7">
      <formula>COUNTIFS($C$11:$C$20,"A1")&gt;0</formula>
    </cfRule>
  </conditionalFormatting>
  <conditionalFormatting sqref="I23">
    <cfRule type="expression" dxfId="353" priority="8">
      <formula>COUNTIFS($D$11:$D$20,"B1")&gt;0</formula>
    </cfRule>
  </conditionalFormatting>
  <conditionalFormatting sqref="I24">
    <cfRule type="expression" dxfId="352" priority="9">
      <formula>COUNTIFS($D$11:$D$20,"B2")&gt;0</formula>
    </cfRule>
  </conditionalFormatting>
  <conditionalFormatting sqref="I25">
    <cfRule type="expression" dxfId="351" priority="10">
      <formula>COUNTIFS($D$11:$D$20,"B3")&gt;0</formula>
    </cfRule>
  </conditionalFormatting>
  <conditionalFormatting sqref="I26">
    <cfRule type="expression" dxfId="350" priority="11">
      <formula>COUNTIFS($D$11:$D$20,"B4")&gt;0</formula>
    </cfRule>
  </conditionalFormatting>
  <conditionalFormatting sqref="I27">
    <cfRule type="expression" dxfId="349" priority="12">
      <formula>COUNTIFS($D$11:$D$20,"B5")&gt;0</formula>
    </cfRule>
  </conditionalFormatting>
  <conditionalFormatting sqref="I28">
    <cfRule type="expression" dxfId="348" priority="13">
      <formula>COUNTIFS($D$11:$D$20,"B6")&gt;0</formula>
    </cfRule>
  </conditionalFormatting>
  <conditionalFormatting sqref="I29">
    <cfRule type="expression" dxfId="347" priority="14">
      <formula>COUNTIFS($D$11:$D$20,"B7")&gt;0</formula>
    </cfRule>
  </conditionalFormatting>
  <conditionalFormatting sqref="I30">
    <cfRule type="expression" dxfId="346" priority="15">
      <formula>COUNTIFS($D$11:$D$20,"B8")&gt;0</formula>
    </cfRule>
  </conditionalFormatting>
  <conditionalFormatting sqref="I31">
    <cfRule type="expression" dxfId="345" priority="16">
      <formula>COUNTIFS($D$11:$D$20,"B9")&gt;0</formula>
    </cfRule>
  </conditionalFormatting>
  <conditionalFormatting sqref="I32">
    <cfRule type="expression" dxfId="344" priority="17">
      <formula>COUNTIFS($D$11:$D$20,"B10")&gt;0</formula>
    </cfRule>
  </conditionalFormatting>
  <conditionalFormatting sqref="I33">
    <cfRule type="expression" dxfId="343" priority="18">
      <formula>COUNTIFS($D$11:$D$20,"B11")&gt;0</formula>
    </cfRule>
  </conditionalFormatting>
  <conditionalFormatting sqref="I34">
    <cfRule type="expression" dxfId="342"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31</v>
      </c>
      <c r="D5" s="82"/>
      <c r="E5" s="82"/>
      <c r="F5" s="82"/>
      <c r="G5" s="82"/>
      <c r="H5" s="82"/>
      <c r="I5" s="83"/>
      <c r="J5" s="74" t="s">
        <v>156</v>
      </c>
      <c r="K5" s="82"/>
      <c r="L5" s="80" t="s">
        <v>54</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287</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170</v>
      </c>
      <c r="D11" s="42" t="s">
        <v>197</v>
      </c>
      <c r="E11" s="42">
        <v>5</v>
      </c>
      <c r="F11" s="42"/>
      <c r="G11" s="68" t="s">
        <v>223</v>
      </c>
      <c r="H11" s="91"/>
      <c r="I11" s="91"/>
      <c r="J11" s="91"/>
      <c r="K11" s="91"/>
      <c r="L11" s="91"/>
      <c r="M11" s="91"/>
      <c r="N11" s="92"/>
    </row>
    <row r="12" spans="2:14" ht="68.849999999999994" customHeight="1">
      <c r="B12" s="41"/>
      <c r="C12" s="42" t="s">
        <v>166</v>
      </c>
      <c r="D12" s="42" t="s">
        <v>196</v>
      </c>
      <c r="E12" s="42">
        <v>5</v>
      </c>
      <c r="F12" s="42"/>
      <c r="G12" s="68" t="s">
        <v>288</v>
      </c>
      <c r="H12" s="91"/>
      <c r="I12" s="91"/>
      <c r="J12" s="91"/>
      <c r="K12" s="91"/>
      <c r="L12" s="91"/>
      <c r="M12" s="91"/>
      <c r="N12" s="92"/>
    </row>
    <row r="13" spans="2:14" ht="52.9" customHeight="1">
      <c r="B13" s="41"/>
      <c r="C13" s="42" t="s">
        <v>170</v>
      </c>
      <c r="D13" s="42" t="s">
        <v>197</v>
      </c>
      <c r="E13" s="42">
        <v>5</v>
      </c>
      <c r="F13" s="42"/>
      <c r="G13" s="68" t="s">
        <v>289</v>
      </c>
      <c r="H13" s="91"/>
      <c r="I13" s="91"/>
      <c r="J13" s="91"/>
      <c r="K13" s="91"/>
      <c r="L13" s="91"/>
      <c r="M13" s="91"/>
      <c r="N13" s="92"/>
    </row>
    <row r="14" spans="2:14" ht="84.75" customHeight="1">
      <c r="B14" s="41"/>
      <c r="C14" s="42" t="s">
        <v>166</v>
      </c>
      <c r="D14" s="42" t="s">
        <v>202</v>
      </c>
      <c r="E14" s="42">
        <v>4</v>
      </c>
      <c r="F14" s="42"/>
      <c r="G14" s="68" t="s">
        <v>220</v>
      </c>
      <c r="H14" s="91"/>
      <c r="I14" s="91"/>
      <c r="J14" s="91"/>
      <c r="K14" s="91"/>
      <c r="L14" s="91"/>
      <c r="M14" s="91"/>
      <c r="N14" s="92"/>
    </row>
    <row r="15" spans="2:14" ht="84.75" customHeight="1">
      <c r="B15" s="41"/>
      <c r="C15" s="42" t="s">
        <v>170</v>
      </c>
      <c r="D15" s="42" t="s">
        <v>197</v>
      </c>
      <c r="E15" s="42">
        <v>4</v>
      </c>
      <c r="F15" s="42"/>
      <c r="G15" s="68" t="s">
        <v>290</v>
      </c>
      <c r="H15" s="91"/>
      <c r="I15" s="91"/>
      <c r="J15" s="91"/>
      <c r="K15" s="91"/>
      <c r="L15" s="91"/>
      <c r="M15" s="91"/>
      <c r="N15" s="92"/>
    </row>
    <row r="16" spans="2:14" ht="52.9" customHeight="1">
      <c r="B16" s="41"/>
      <c r="C16" s="42" t="s">
        <v>169</v>
      </c>
      <c r="D16" s="42" t="s">
        <v>196</v>
      </c>
      <c r="E16" s="42">
        <v>4</v>
      </c>
      <c r="F16" s="42"/>
      <c r="G16" s="68" t="s">
        <v>291</v>
      </c>
      <c r="H16" s="91"/>
      <c r="I16" s="91"/>
      <c r="J16" s="91"/>
      <c r="K16" s="91"/>
      <c r="L16" s="91"/>
      <c r="M16" s="91"/>
      <c r="N16" s="92"/>
    </row>
    <row r="17" spans="2:14" ht="68.849999999999994" customHeight="1">
      <c r="B17" s="41"/>
      <c r="C17" s="42" t="s">
        <v>169</v>
      </c>
      <c r="D17" s="42" t="s">
        <v>172</v>
      </c>
      <c r="E17" s="42">
        <v>3</v>
      </c>
      <c r="F17" s="42"/>
      <c r="G17" s="68" t="s">
        <v>221</v>
      </c>
      <c r="H17" s="91"/>
      <c r="I17" s="91"/>
      <c r="J17" s="91"/>
      <c r="K17" s="91"/>
      <c r="L17" s="91"/>
      <c r="M17" s="91"/>
      <c r="N17" s="92"/>
    </row>
    <row r="18" spans="2:14" ht="68.849999999999994" customHeight="1">
      <c r="B18" s="41"/>
      <c r="C18" s="42" t="s">
        <v>169</v>
      </c>
      <c r="D18" s="42" t="s">
        <v>167</v>
      </c>
      <c r="E18" s="42">
        <v>3</v>
      </c>
      <c r="F18" s="42"/>
      <c r="G18" s="68" t="s">
        <v>292</v>
      </c>
      <c r="H18" s="91"/>
      <c r="I18" s="91"/>
      <c r="J18" s="91"/>
      <c r="K18" s="91"/>
      <c r="L18" s="91"/>
      <c r="M18" s="91"/>
      <c r="N18" s="92"/>
    </row>
    <row r="19" spans="2:14" ht="52.9" customHeight="1">
      <c r="B19" s="41"/>
      <c r="C19" s="42" t="s">
        <v>171</v>
      </c>
      <c r="D19" s="42" t="s">
        <v>167</v>
      </c>
      <c r="E19" s="42">
        <v>3</v>
      </c>
      <c r="F19" s="42"/>
      <c r="G19" s="68" t="s">
        <v>293</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f>IFERROR(AVERAGEIFS($E$11:$E$20,$C$11:$C$20,E$37,$D$11:$D$20,$B41),"")</f>
        <v>5</v>
      </c>
      <c r="F41" s="18" t="str">
        <f>IFERROR(AVERAGEIFS($F$11:$F$20,$C$11:$C$20,E$37,$D$11:$D$20,$B41),"")</f>
        <v/>
      </c>
      <c r="G41" s="17" t="str">
        <f>IFERROR(AVERAGEIFS($E$11:$E$20,$C$11:$C$20,G$37,$D$11:$D$20,$B41),"")</f>
        <v/>
      </c>
      <c r="H41" s="17" t="str">
        <f>IFERROR(AVERAGEIFS($F$11:$F$20,$C$11:$C$20,G$37,$D$11:$D$20,$B41),"")</f>
        <v/>
      </c>
      <c r="I41" s="18">
        <f>IFERROR(AVERAGEIFS($E$11:$E$20,$C$11:$C$20,I$37,$D$11:$D$20,$B41),"")</f>
        <v>4</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f>IFERROR(AVERAGEIFS($E$11:$E$20,$C$11:$C$20,M$37,$D$11:$D$20,$B42),"")</f>
        <v>4.666666666666667</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f>IFERROR(AVERAGEIFS($E$11:$E$20,$C$11:$C$20,C$37,$D$11:$D$20,$B45),"")</f>
        <v>3</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3</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4</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f>IFERROR(AVERAGEIFS($E$11:$E$20,$C$11:$C$20,I$37,$D$11:$D$20,$B49),"")</f>
        <v>3</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41" priority="2">
      <formula>COUNTIFS($C$11:$C$20,"A2")&gt;0</formula>
    </cfRule>
  </conditionalFormatting>
  <conditionalFormatting sqref="C25">
    <cfRule type="expression" dxfId="340" priority="3">
      <formula>COUNTIFS($C$11:$C$20,"A3")&gt;0</formula>
    </cfRule>
  </conditionalFormatting>
  <conditionalFormatting sqref="C26">
    <cfRule type="expression" dxfId="339" priority="4">
      <formula>COUNTIFS($C$11:$C$20,"A4")&gt;0</formula>
    </cfRule>
  </conditionalFormatting>
  <conditionalFormatting sqref="C27">
    <cfRule type="expression" dxfId="338" priority="5">
      <formula>COUNTIFS($C$11:$C$20,"A5")&gt;0</formula>
    </cfRule>
  </conditionalFormatting>
  <conditionalFormatting sqref="C28">
    <cfRule type="expression" dxfId="337" priority="6">
      <formula>COUNTIFS($C$11:$C$20,"A6")&gt;0</formula>
    </cfRule>
  </conditionalFormatting>
  <conditionalFormatting sqref="C23:H23">
    <cfRule type="expression" dxfId="336" priority="7">
      <formula>COUNTIFS($C$11:$C$20,"A1")&gt;0</formula>
    </cfRule>
  </conditionalFormatting>
  <conditionalFormatting sqref="I23">
    <cfRule type="expression" dxfId="335" priority="8">
      <formula>COUNTIFS($D$11:$D$20,"B1")&gt;0</formula>
    </cfRule>
  </conditionalFormatting>
  <conditionalFormatting sqref="I24">
    <cfRule type="expression" dxfId="334" priority="9">
      <formula>COUNTIFS($D$11:$D$20,"B2")&gt;0</formula>
    </cfRule>
  </conditionalFormatting>
  <conditionalFormatting sqref="I25">
    <cfRule type="expression" dxfId="333" priority="10">
      <formula>COUNTIFS($D$11:$D$20,"B3")&gt;0</formula>
    </cfRule>
  </conditionalFormatting>
  <conditionalFormatting sqref="I26">
    <cfRule type="expression" dxfId="332" priority="11">
      <formula>COUNTIFS($D$11:$D$20,"B4")&gt;0</formula>
    </cfRule>
  </conditionalFormatting>
  <conditionalFormatting sqref="I27">
    <cfRule type="expression" dxfId="331" priority="12">
      <formula>COUNTIFS($D$11:$D$20,"B5")&gt;0</formula>
    </cfRule>
  </conditionalFormatting>
  <conditionalFormatting sqref="I28">
    <cfRule type="expression" dxfId="330" priority="13">
      <formula>COUNTIFS($D$11:$D$20,"B6")&gt;0</formula>
    </cfRule>
  </conditionalFormatting>
  <conditionalFormatting sqref="I29">
    <cfRule type="expression" dxfId="329" priority="14">
      <formula>COUNTIFS($D$11:$D$20,"B7")&gt;0</formula>
    </cfRule>
  </conditionalFormatting>
  <conditionalFormatting sqref="I30">
    <cfRule type="expression" dxfId="328" priority="15">
      <formula>COUNTIFS($D$11:$D$20,"B8")&gt;0</formula>
    </cfRule>
  </conditionalFormatting>
  <conditionalFormatting sqref="I31">
    <cfRule type="expression" dxfId="327" priority="16">
      <formula>COUNTIFS($D$11:$D$20,"B9")&gt;0</formula>
    </cfRule>
  </conditionalFormatting>
  <conditionalFormatting sqref="I32">
    <cfRule type="expression" dxfId="326" priority="17">
      <formula>COUNTIFS($D$11:$D$20,"B10")&gt;0</formula>
    </cfRule>
  </conditionalFormatting>
  <conditionalFormatting sqref="I33">
    <cfRule type="expression" dxfId="325" priority="18">
      <formula>COUNTIFS($D$11:$D$20,"B11")&gt;0</formula>
    </cfRule>
  </conditionalFormatting>
  <conditionalFormatting sqref="I34">
    <cfRule type="expression" dxfId="324"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37</v>
      </c>
      <c r="D5" s="82"/>
      <c r="E5" s="82"/>
      <c r="F5" s="82"/>
      <c r="G5" s="82"/>
      <c r="H5" s="82"/>
      <c r="I5" s="83"/>
      <c r="J5" s="74" t="s">
        <v>156</v>
      </c>
      <c r="K5" s="82"/>
      <c r="L5" s="80" t="s">
        <v>58</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294</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20.85" customHeight="1">
      <c r="B11" s="41"/>
      <c r="C11" s="42" t="s">
        <v>170</v>
      </c>
      <c r="D11" s="42" t="s">
        <v>200</v>
      </c>
      <c r="E11" s="42">
        <v>5</v>
      </c>
      <c r="F11" s="42"/>
      <c r="G11" s="68" t="s">
        <v>295</v>
      </c>
      <c r="H11" s="91"/>
      <c r="I11" s="91"/>
      <c r="J11" s="91"/>
      <c r="K11" s="91"/>
      <c r="L11" s="91"/>
      <c r="M11" s="91"/>
      <c r="N11" s="92"/>
    </row>
    <row r="12" spans="2:14" ht="36.75" customHeight="1">
      <c r="B12" s="41"/>
      <c r="C12" s="42" t="s">
        <v>169</v>
      </c>
      <c r="D12" s="42" t="s">
        <v>172</v>
      </c>
      <c r="E12" s="42">
        <v>4</v>
      </c>
      <c r="F12" s="42"/>
      <c r="G12" s="68" t="s">
        <v>296</v>
      </c>
      <c r="H12" s="91"/>
      <c r="I12" s="91"/>
      <c r="J12" s="91"/>
      <c r="K12" s="91"/>
      <c r="L12" s="91"/>
      <c r="M12" s="91"/>
      <c r="N12" s="92"/>
    </row>
    <row r="13" spans="2:14" ht="84.75" customHeight="1">
      <c r="B13" s="41"/>
      <c r="C13" s="42" t="s">
        <v>170</v>
      </c>
      <c r="D13" s="42" t="s">
        <v>196</v>
      </c>
      <c r="E13" s="42">
        <v>4</v>
      </c>
      <c r="F13" s="42"/>
      <c r="G13" s="68" t="s">
        <v>297</v>
      </c>
      <c r="H13" s="91"/>
      <c r="I13" s="91"/>
      <c r="J13" s="91"/>
      <c r="K13" s="91"/>
      <c r="L13" s="91"/>
      <c r="M13" s="91"/>
      <c r="N13" s="92"/>
    </row>
    <row r="14" spans="2:14" ht="84.75" customHeight="1">
      <c r="B14" s="41"/>
      <c r="C14" s="42" t="s">
        <v>171</v>
      </c>
      <c r="D14" s="42" t="s">
        <v>200</v>
      </c>
      <c r="E14" s="42"/>
      <c r="F14" s="42">
        <v>4</v>
      </c>
      <c r="G14" s="68" t="s">
        <v>298</v>
      </c>
      <c r="H14" s="91"/>
      <c r="I14" s="91"/>
      <c r="J14" s="91"/>
      <c r="K14" s="91"/>
      <c r="L14" s="91"/>
      <c r="M14" s="91"/>
      <c r="N14" s="92"/>
    </row>
    <row r="15" spans="2:14" ht="84.75" customHeight="1">
      <c r="B15" s="41"/>
      <c r="C15" s="42" t="s">
        <v>169</v>
      </c>
      <c r="D15" s="42" t="s">
        <v>172</v>
      </c>
      <c r="E15" s="42">
        <v>3</v>
      </c>
      <c r="F15" s="42"/>
      <c r="G15" s="68" t="s">
        <v>299</v>
      </c>
      <c r="H15" s="91"/>
      <c r="I15" s="91"/>
      <c r="J15" s="91"/>
      <c r="K15" s="91"/>
      <c r="L15" s="91"/>
      <c r="M15" s="91"/>
      <c r="N15" s="92"/>
    </row>
    <row r="16" spans="2:14" ht="68.849999999999994" customHeight="1">
      <c r="B16" s="41"/>
      <c r="C16" s="42" t="s">
        <v>193</v>
      </c>
      <c r="D16" s="42" t="s">
        <v>201</v>
      </c>
      <c r="E16" s="42">
        <v>3</v>
      </c>
      <c r="F16" s="42"/>
      <c r="G16" s="68" t="s">
        <v>300</v>
      </c>
      <c r="H16" s="91"/>
      <c r="I16" s="91"/>
      <c r="J16" s="91"/>
      <c r="K16" s="91"/>
      <c r="L16" s="91"/>
      <c r="M16" s="91"/>
      <c r="N16" s="92"/>
    </row>
    <row r="17" spans="2:14" ht="68.849999999999994" customHeight="1">
      <c r="B17" s="41"/>
      <c r="C17" s="42" t="s">
        <v>169</v>
      </c>
      <c r="D17" s="42" t="s">
        <v>172</v>
      </c>
      <c r="E17" s="42">
        <v>3</v>
      </c>
      <c r="F17" s="42"/>
      <c r="G17" s="68" t="s">
        <v>239</v>
      </c>
      <c r="H17" s="91"/>
      <c r="I17" s="91"/>
      <c r="J17" s="91"/>
      <c r="K17" s="91"/>
      <c r="L17" s="91"/>
      <c r="M17" s="91"/>
      <c r="N17" s="92"/>
    </row>
    <row r="18" spans="2:14" ht="52.9" customHeight="1">
      <c r="B18" s="41"/>
      <c r="C18" s="42" t="s">
        <v>193</v>
      </c>
      <c r="D18" s="42" t="s">
        <v>200</v>
      </c>
      <c r="E18" s="42">
        <v>3</v>
      </c>
      <c r="F18" s="42"/>
      <c r="G18" s="68" t="s">
        <v>240</v>
      </c>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f>IFERROR(AVERAGEIFS($E$11:$E$20,$C$11:$C$20,M$37,$D$11:$D$20,$B41),"")</f>
        <v>4</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f>IFERROR(AVERAGEIFS($F$11:$F$20,$C$11:$C$20,C$37,$D$11:$D$20,$B46),"")</f>
        <v>4</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f>IFERROR(AVERAGEIFS($E$11:$E$20,$C$11:$C$20,K$37,$D$11:$D$20,$B46),"")</f>
        <v>3</v>
      </c>
      <c r="L46" s="17" t="str">
        <f>IFERROR(AVERAGEIFS($F$11:$F$20,$C$11:$C$20,K$37,$D$11:$D$20,$B46),"")</f>
        <v/>
      </c>
      <c r="M46" s="18">
        <f>IFERROR(AVERAGEIFS($E$11:$E$20,$C$11:$C$20,M$37,$D$11:$D$20,$B46),"")</f>
        <v>5</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f>IFERROR(AVERAGEIFS($E$11:$E$20,$C$11:$C$20,K$37,$D$11:$D$20,$B47),"")</f>
        <v>3</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f>IFERROR(AVERAGEIFS($E$11:$E$20,$C$11:$C$20,I$37,$D$11:$D$20,$B49),"")</f>
        <v>3.3333333333333335</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23" priority="2">
      <formula>COUNTIFS($C$11:$C$20,"A2")&gt;0</formula>
    </cfRule>
  </conditionalFormatting>
  <conditionalFormatting sqref="C25">
    <cfRule type="expression" dxfId="322" priority="3">
      <formula>COUNTIFS($C$11:$C$20,"A3")&gt;0</formula>
    </cfRule>
  </conditionalFormatting>
  <conditionalFormatting sqref="C26">
    <cfRule type="expression" dxfId="321" priority="4">
      <formula>COUNTIFS($C$11:$C$20,"A4")&gt;0</formula>
    </cfRule>
  </conditionalFormatting>
  <conditionalFormatting sqref="C27">
    <cfRule type="expression" dxfId="320" priority="5">
      <formula>COUNTIFS($C$11:$C$20,"A5")&gt;0</formula>
    </cfRule>
  </conditionalFormatting>
  <conditionalFormatting sqref="C28">
    <cfRule type="expression" dxfId="319" priority="6">
      <formula>COUNTIFS($C$11:$C$20,"A6")&gt;0</formula>
    </cfRule>
  </conditionalFormatting>
  <conditionalFormatting sqref="C23:H23">
    <cfRule type="expression" dxfId="318" priority="7">
      <formula>COUNTIFS($C$11:$C$20,"A1")&gt;0</formula>
    </cfRule>
  </conditionalFormatting>
  <conditionalFormatting sqref="I23">
    <cfRule type="expression" dxfId="317" priority="8">
      <formula>COUNTIFS($D$11:$D$20,"B1")&gt;0</formula>
    </cfRule>
  </conditionalFormatting>
  <conditionalFormatting sqref="I24">
    <cfRule type="expression" dxfId="316" priority="9">
      <formula>COUNTIFS($D$11:$D$20,"B2")&gt;0</formula>
    </cfRule>
  </conditionalFormatting>
  <conditionalFormatting sqref="I25">
    <cfRule type="expression" dxfId="315" priority="10">
      <formula>COUNTIFS($D$11:$D$20,"B3")&gt;0</formula>
    </cfRule>
  </conditionalFormatting>
  <conditionalFormatting sqref="I26">
    <cfRule type="expression" dxfId="314" priority="11">
      <formula>COUNTIFS($D$11:$D$20,"B4")&gt;0</formula>
    </cfRule>
  </conditionalFormatting>
  <conditionalFormatting sqref="I27">
    <cfRule type="expression" dxfId="313" priority="12">
      <formula>COUNTIFS($D$11:$D$20,"B5")&gt;0</formula>
    </cfRule>
  </conditionalFormatting>
  <conditionalFormatting sqref="I28">
    <cfRule type="expression" dxfId="312" priority="13">
      <formula>COUNTIFS($D$11:$D$20,"B6")&gt;0</formula>
    </cfRule>
  </conditionalFormatting>
  <conditionalFormatting sqref="I29">
    <cfRule type="expression" dxfId="311" priority="14">
      <formula>COUNTIFS($D$11:$D$20,"B7")&gt;0</formula>
    </cfRule>
  </conditionalFormatting>
  <conditionalFormatting sqref="I30">
    <cfRule type="expression" dxfId="310" priority="15">
      <formula>COUNTIFS($D$11:$D$20,"B8")&gt;0</formula>
    </cfRule>
  </conditionalFormatting>
  <conditionalFormatting sqref="I31">
    <cfRule type="expression" dxfId="309" priority="16">
      <formula>COUNTIFS($D$11:$D$20,"B9")&gt;0</formula>
    </cfRule>
  </conditionalFormatting>
  <conditionalFormatting sqref="I32">
    <cfRule type="expression" dxfId="308" priority="17">
      <formula>COUNTIFS($D$11:$D$20,"B10")&gt;0</formula>
    </cfRule>
  </conditionalFormatting>
  <conditionalFormatting sqref="I33">
    <cfRule type="expression" dxfId="307" priority="18">
      <formula>COUNTIFS($D$11:$D$20,"B11")&gt;0</formula>
    </cfRule>
  </conditionalFormatting>
  <conditionalFormatting sqref="I34">
    <cfRule type="expression" dxfId="30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33</v>
      </c>
      <c r="D5" s="82"/>
      <c r="E5" s="82"/>
      <c r="F5" s="82"/>
      <c r="G5" s="82"/>
      <c r="H5" s="82"/>
      <c r="I5" s="83"/>
      <c r="J5" s="74" t="s">
        <v>156</v>
      </c>
      <c r="K5" s="82"/>
      <c r="L5" s="80" t="s">
        <v>59</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301</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170</v>
      </c>
      <c r="D11" s="42" t="s">
        <v>197</v>
      </c>
      <c r="E11" s="42">
        <v>5</v>
      </c>
      <c r="F11" s="42"/>
      <c r="G11" s="68" t="s">
        <v>302</v>
      </c>
      <c r="H11" s="91"/>
      <c r="I11" s="91"/>
      <c r="J11" s="91"/>
      <c r="K11" s="91"/>
      <c r="L11" s="91"/>
      <c r="M11" s="91"/>
      <c r="N11" s="92"/>
    </row>
    <row r="12" spans="2:14" ht="68.849999999999994" customHeight="1">
      <c r="B12" s="41"/>
      <c r="C12" s="42" t="s">
        <v>170</v>
      </c>
      <c r="D12" s="42" t="s">
        <v>197</v>
      </c>
      <c r="E12" s="42">
        <v>5</v>
      </c>
      <c r="F12" s="42"/>
      <c r="G12" s="68" t="s">
        <v>227</v>
      </c>
      <c r="H12" s="91"/>
      <c r="I12" s="91"/>
      <c r="J12" s="91"/>
      <c r="K12" s="91"/>
      <c r="L12" s="91"/>
      <c r="M12" s="91"/>
      <c r="N12" s="92"/>
    </row>
    <row r="13" spans="2:14" ht="68.849999999999994" customHeight="1">
      <c r="B13" s="41"/>
      <c r="C13" s="42" t="s">
        <v>170</v>
      </c>
      <c r="D13" s="42" t="s">
        <v>197</v>
      </c>
      <c r="E13" s="42">
        <v>5</v>
      </c>
      <c r="F13" s="42"/>
      <c r="G13" s="68" t="s">
        <v>303</v>
      </c>
      <c r="H13" s="91"/>
      <c r="I13" s="91"/>
      <c r="J13" s="91"/>
      <c r="K13" s="91"/>
      <c r="L13" s="91"/>
      <c r="M13" s="91"/>
      <c r="N13" s="92"/>
    </row>
    <row r="14" spans="2:14" ht="52.9" customHeight="1">
      <c r="B14" s="41"/>
      <c r="C14" s="42" t="s">
        <v>169</v>
      </c>
      <c r="D14" s="42" t="s">
        <v>196</v>
      </c>
      <c r="E14" s="42">
        <v>4</v>
      </c>
      <c r="F14" s="42"/>
      <c r="G14" s="68" t="s">
        <v>304</v>
      </c>
      <c r="H14" s="91"/>
      <c r="I14" s="91"/>
      <c r="J14" s="91"/>
      <c r="K14" s="91"/>
      <c r="L14" s="91"/>
      <c r="M14" s="91"/>
      <c r="N14" s="92"/>
    </row>
    <row r="15" spans="2:14" ht="52.9" customHeight="1">
      <c r="B15" s="41"/>
      <c r="C15" s="42" t="s">
        <v>170</v>
      </c>
      <c r="D15" s="42" t="s">
        <v>195</v>
      </c>
      <c r="E15" s="42">
        <v>4</v>
      </c>
      <c r="F15" s="42"/>
      <c r="G15" s="68" t="s">
        <v>305</v>
      </c>
      <c r="H15" s="91"/>
      <c r="I15" s="91"/>
      <c r="J15" s="91"/>
      <c r="K15" s="91"/>
      <c r="L15" s="91"/>
      <c r="M15" s="91"/>
      <c r="N15" s="92"/>
    </row>
    <row r="16" spans="2:14" ht="52.9" customHeight="1">
      <c r="B16" s="41"/>
      <c r="C16" s="42" t="s">
        <v>193</v>
      </c>
      <c r="D16" s="42" t="s">
        <v>198</v>
      </c>
      <c r="E16" s="42">
        <v>4</v>
      </c>
      <c r="F16" s="42"/>
      <c r="G16" s="68" t="s">
        <v>226</v>
      </c>
      <c r="H16" s="91"/>
      <c r="I16" s="91"/>
      <c r="J16" s="91"/>
      <c r="K16" s="91"/>
      <c r="L16" s="91"/>
      <c r="M16" s="91"/>
      <c r="N16" s="92"/>
    </row>
    <row r="17" spans="2:14" ht="68.849999999999994" customHeight="1">
      <c r="B17" s="41"/>
      <c r="C17" s="42" t="s">
        <v>169</v>
      </c>
      <c r="D17" s="42" t="s">
        <v>200</v>
      </c>
      <c r="E17" s="42">
        <v>4</v>
      </c>
      <c r="F17" s="42"/>
      <c r="G17" s="68" t="s">
        <v>228</v>
      </c>
      <c r="H17" s="91"/>
      <c r="I17" s="91"/>
      <c r="J17" s="91"/>
      <c r="K17" s="91"/>
      <c r="L17" s="91"/>
      <c r="M17" s="91"/>
      <c r="N17" s="92"/>
    </row>
    <row r="18" spans="2:14" ht="68.849999999999994" customHeight="1">
      <c r="B18" s="41"/>
      <c r="C18" s="42" t="s">
        <v>193</v>
      </c>
      <c r="D18" s="42" t="s">
        <v>199</v>
      </c>
      <c r="E18" s="42">
        <v>4</v>
      </c>
      <c r="F18" s="42"/>
      <c r="G18" s="68" t="s">
        <v>229</v>
      </c>
      <c r="H18" s="91"/>
      <c r="I18" s="91"/>
      <c r="J18" s="91"/>
      <c r="K18" s="91"/>
      <c r="L18" s="91"/>
      <c r="M18" s="91"/>
      <c r="N18" s="92"/>
    </row>
    <row r="19" spans="2:14" ht="52.9" customHeight="1">
      <c r="B19" s="41"/>
      <c r="C19" s="42" t="s">
        <v>169</v>
      </c>
      <c r="D19" s="42" t="s">
        <v>196</v>
      </c>
      <c r="E19" s="42">
        <v>4</v>
      </c>
      <c r="F19" s="42"/>
      <c r="G19" s="68" t="s">
        <v>306</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f>IFERROR(AVERAGEIFS($E$11:$E$20,$C$11:$C$20,M$37,$D$11:$D$20,$B40),"")</f>
        <v>4</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f>IFERROR(AVERAGEIFS($E$11:$E$20,$C$11:$C$20,I$37,$D$11:$D$20,$B41),"")</f>
        <v>4</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f>IFERROR(AVERAGEIFS($E$11:$E$20,$C$11:$C$20,M$37,$D$11:$D$20,$B42),"")</f>
        <v>5</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f>IFERROR(AVERAGEIFS($E$11:$E$20,$C$11:$C$20,K$37,$D$11:$D$20,$B43),"")</f>
        <v>4</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f>IFERROR(AVERAGEIFS($E$11:$E$20,$C$11:$C$20,K$37,$D$11:$D$20,$B44),"")</f>
        <v>4</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4</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05" priority="2">
      <formula>COUNTIFS($C$11:$C$20,"A2")&gt;0</formula>
    </cfRule>
  </conditionalFormatting>
  <conditionalFormatting sqref="C25">
    <cfRule type="expression" dxfId="304" priority="3">
      <formula>COUNTIFS($C$11:$C$20,"A3")&gt;0</formula>
    </cfRule>
  </conditionalFormatting>
  <conditionalFormatting sqref="C26">
    <cfRule type="expression" dxfId="303" priority="4">
      <formula>COUNTIFS($C$11:$C$20,"A4")&gt;0</formula>
    </cfRule>
  </conditionalFormatting>
  <conditionalFormatting sqref="C27">
    <cfRule type="expression" dxfId="302" priority="5">
      <formula>COUNTIFS($C$11:$C$20,"A5")&gt;0</formula>
    </cfRule>
  </conditionalFormatting>
  <conditionalFormatting sqref="C28">
    <cfRule type="expression" dxfId="301" priority="6">
      <formula>COUNTIFS($C$11:$C$20,"A6")&gt;0</formula>
    </cfRule>
  </conditionalFormatting>
  <conditionalFormatting sqref="C23:H23">
    <cfRule type="expression" dxfId="300" priority="7">
      <formula>COUNTIFS($C$11:$C$20,"A1")&gt;0</formula>
    </cfRule>
  </conditionalFormatting>
  <conditionalFormatting sqref="I23">
    <cfRule type="expression" dxfId="299" priority="8">
      <formula>COUNTIFS($D$11:$D$20,"B1")&gt;0</formula>
    </cfRule>
  </conditionalFormatting>
  <conditionalFormatting sqref="I24">
    <cfRule type="expression" dxfId="298" priority="9">
      <formula>COUNTIFS($D$11:$D$20,"B2")&gt;0</formula>
    </cfRule>
  </conditionalFormatting>
  <conditionalFormatting sqref="I25">
    <cfRule type="expression" dxfId="297" priority="10">
      <formula>COUNTIFS($D$11:$D$20,"B3")&gt;0</formula>
    </cfRule>
  </conditionalFormatting>
  <conditionalFormatting sqref="I26">
    <cfRule type="expression" dxfId="296" priority="11">
      <formula>COUNTIFS($D$11:$D$20,"B4")&gt;0</formula>
    </cfRule>
  </conditionalFormatting>
  <conditionalFormatting sqref="I27">
    <cfRule type="expression" dxfId="295" priority="12">
      <formula>COUNTIFS($D$11:$D$20,"B5")&gt;0</formula>
    </cfRule>
  </conditionalFormatting>
  <conditionalFormatting sqref="I28">
    <cfRule type="expression" dxfId="294" priority="13">
      <formula>COUNTIFS($D$11:$D$20,"B6")&gt;0</formula>
    </cfRule>
  </conditionalFormatting>
  <conditionalFormatting sqref="I29">
    <cfRule type="expression" dxfId="293" priority="14">
      <formula>COUNTIFS($D$11:$D$20,"B7")&gt;0</formula>
    </cfRule>
  </conditionalFormatting>
  <conditionalFormatting sqref="I30">
    <cfRule type="expression" dxfId="292" priority="15">
      <formula>COUNTIFS($D$11:$D$20,"B8")&gt;0</formula>
    </cfRule>
  </conditionalFormatting>
  <conditionalFormatting sqref="I31">
    <cfRule type="expression" dxfId="291" priority="16">
      <formula>COUNTIFS($D$11:$D$20,"B9")&gt;0</formula>
    </cfRule>
  </conditionalFormatting>
  <conditionalFormatting sqref="I32">
    <cfRule type="expression" dxfId="290" priority="17">
      <formula>COUNTIFS($D$11:$D$20,"B10")&gt;0</formula>
    </cfRule>
  </conditionalFormatting>
  <conditionalFormatting sqref="I33">
    <cfRule type="expression" dxfId="289" priority="18">
      <formula>COUNTIFS($D$11:$D$20,"B11")&gt;0</formula>
    </cfRule>
  </conditionalFormatting>
  <conditionalFormatting sqref="I34">
    <cfRule type="expression" dxfId="28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61</v>
      </c>
      <c r="D5" s="82"/>
      <c r="E5" s="82"/>
      <c r="F5" s="82"/>
      <c r="G5" s="82"/>
      <c r="H5" s="82"/>
      <c r="I5" s="83"/>
      <c r="J5" s="74" t="s">
        <v>156</v>
      </c>
      <c r="K5" s="82"/>
      <c r="L5" s="80" t="s">
        <v>60</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307</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171</v>
      </c>
      <c r="D11" s="42" t="s">
        <v>196</v>
      </c>
      <c r="E11" s="42">
        <v>5</v>
      </c>
      <c r="F11" s="42"/>
      <c r="G11" s="68" t="s">
        <v>308</v>
      </c>
      <c r="H11" s="91"/>
      <c r="I11" s="91"/>
      <c r="J11" s="91"/>
      <c r="K11" s="91"/>
      <c r="L11" s="91"/>
      <c r="M11" s="91"/>
      <c r="N11" s="92"/>
    </row>
    <row r="12" spans="2:14" ht="36.75" customHeight="1">
      <c r="B12" s="41"/>
      <c r="C12" s="42" t="s">
        <v>169</v>
      </c>
      <c r="D12" s="42" t="s">
        <v>172</v>
      </c>
      <c r="E12" s="42">
        <v>4</v>
      </c>
      <c r="F12" s="42"/>
      <c r="G12" s="68" t="s">
        <v>309</v>
      </c>
      <c r="H12" s="91"/>
      <c r="I12" s="91"/>
      <c r="J12" s="91"/>
      <c r="K12" s="91"/>
      <c r="L12" s="91"/>
      <c r="M12" s="91"/>
      <c r="N12" s="92"/>
    </row>
    <row r="13" spans="2:14" ht="52.9" customHeight="1">
      <c r="B13" s="41"/>
      <c r="C13" s="42" t="s">
        <v>169</v>
      </c>
      <c r="D13" s="42" t="s">
        <v>172</v>
      </c>
      <c r="E13" s="42">
        <v>4</v>
      </c>
      <c r="F13" s="42"/>
      <c r="G13" s="68" t="s">
        <v>310</v>
      </c>
      <c r="H13" s="91"/>
      <c r="I13" s="91"/>
      <c r="J13" s="91"/>
      <c r="K13" s="91"/>
      <c r="L13" s="91"/>
      <c r="M13" s="91"/>
      <c r="N13" s="92"/>
    </row>
    <row r="14" spans="2:14" ht="36.75" customHeight="1">
      <c r="B14" s="41"/>
      <c r="C14" s="42" t="s">
        <v>169</v>
      </c>
      <c r="D14" s="42" t="s">
        <v>167</v>
      </c>
      <c r="E14" s="42">
        <v>4</v>
      </c>
      <c r="F14" s="42"/>
      <c r="G14" s="68" t="s">
        <v>311</v>
      </c>
      <c r="H14" s="91"/>
      <c r="I14" s="91"/>
      <c r="J14" s="91"/>
      <c r="K14" s="91"/>
      <c r="L14" s="91"/>
      <c r="M14" s="91"/>
      <c r="N14" s="92"/>
    </row>
    <row r="15" spans="2:14" ht="52.9" customHeight="1">
      <c r="B15" s="41"/>
      <c r="C15" s="42" t="s">
        <v>168</v>
      </c>
      <c r="D15" s="42" t="s">
        <v>202</v>
      </c>
      <c r="E15" s="42"/>
      <c r="F15" s="42">
        <v>3</v>
      </c>
      <c r="G15" s="68" t="s">
        <v>312</v>
      </c>
      <c r="H15" s="91"/>
      <c r="I15" s="91"/>
      <c r="J15" s="91"/>
      <c r="K15" s="91"/>
      <c r="L15" s="91"/>
      <c r="M15" s="91"/>
      <c r="N15" s="92"/>
    </row>
    <row r="16" spans="2:14" ht="52.9" customHeight="1">
      <c r="B16" s="41"/>
      <c r="C16" s="42" t="s">
        <v>193</v>
      </c>
      <c r="D16" s="42" t="s">
        <v>167</v>
      </c>
      <c r="E16" s="42"/>
      <c r="F16" s="42">
        <v>3</v>
      </c>
      <c r="G16" s="68" t="s">
        <v>313</v>
      </c>
      <c r="H16" s="91"/>
      <c r="I16" s="91"/>
      <c r="J16" s="91"/>
      <c r="K16" s="91"/>
      <c r="L16" s="91"/>
      <c r="M16" s="91"/>
      <c r="N16" s="92"/>
    </row>
    <row r="17" spans="2:14" ht="52.9" customHeight="1">
      <c r="B17" s="41"/>
      <c r="C17" s="42" t="s">
        <v>168</v>
      </c>
      <c r="D17" s="42" t="s">
        <v>202</v>
      </c>
      <c r="E17" s="42"/>
      <c r="F17" s="42">
        <v>3</v>
      </c>
      <c r="G17" s="68" t="s">
        <v>314</v>
      </c>
      <c r="H17" s="91"/>
      <c r="I17" s="91"/>
      <c r="J17" s="91"/>
      <c r="K17" s="91"/>
      <c r="L17" s="91"/>
      <c r="M17" s="91"/>
      <c r="N17" s="92"/>
    </row>
    <row r="18" spans="2:14" ht="36.75" customHeight="1">
      <c r="B18" s="41"/>
      <c r="C18" s="42" t="s">
        <v>168</v>
      </c>
      <c r="D18" s="42" t="s">
        <v>172</v>
      </c>
      <c r="E18" s="42">
        <v>3</v>
      </c>
      <c r="F18" s="42"/>
      <c r="G18" s="68" t="s">
        <v>315</v>
      </c>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f>IFERROR(AVERAGEIFS($E$11:$E$20,$C$11:$C$20,C$37,$D$11:$D$20,$B41),"")</f>
        <v>5</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4</v>
      </c>
      <c r="J45" s="18" t="str">
        <f>IFERROR(AVERAGEIFS($F$11:$F$20,$C$11:$C$20,I$37,$D$11:$D$20,$B45),"")</f>
        <v/>
      </c>
      <c r="K45" s="17" t="str">
        <f>IFERROR(AVERAGEIFS($E$11:$E$20,$C$11:$C$20,K$37,$D$11:$D$20,$B45),"")</f>
        <v/>
      </c>
      <c r="L45" s="17">
        <f>IFERROR(AVERAGEIFS($F$11:$F$20,$C$11:$C$20,K$37,$D$11:$D$20,$B45),"")</f>
        <v>3</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f>IFERROR(AVERAGEIFS($F$11:$F$20,$C$11:$C$20,G$37,$D$11:$D$20,$B48),"")</f>
        <v>3</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f>IFERROR(AVERAGEIFS($E$11:$E$20,$C$11:$C$20,G$37,$D$11:$D$20,$B49),"")</f>
        <v>3</v>
      </c>
      <c r="H49" s="17" t="str">
        <f>IFERROR(AVERAGEIFS($F$11:$F$20,$C$11:$C$20,G$37,$D$11:$D$20,$B49),"")</f>
        <v/>
      </c>
      <c r="I49" s="18">
        <f>IFERROR(AVERAGEIFS($E$11:$E$20,$C$11:$C$20,I$37,$D$11:$D$20,$B49),"")</f>
        <v>4</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287" priority="2">
      <formula>COUNTIFS($C$11:$C$20,"A2")&gt;0</formula>
    </cfRule>
  </conditionalFormatting>
  <conditionalFormatting sqref="C25">
    <cfRule type="expression" dxfId="286" priority="3">
      <formula>COUNTIFS($C$11:$C$20,"A3")&gt;0</formula>
    </cfRule>
  </conditionalFormatting>
  <conditionalFormatting sqref="C26">
    <cfRule type="expression" dxfId="285" priority="4">
      <formula>COUNTIFS($C$11:$C$20,"A4")&gt;0</formula>
    </cfRule>
  </conditionalFormatting>
  <conditionalFormatting sqref="C27">
    <cfRule type="expression" dxfId="284" priority="5">
      <formula>COUNTIFS($C$11:$C$20,"A5")&gt;0</formula>
    </cfRule>
  </conditionalFormatting>
  <conditionalFormatting sqref="C28">
    <cfRule type="expression" dxfId="283" priority="6">
      <formula>COUNTIFS($C$11:$C$20,"A6")&gt;0</formula>
    </cfRule>
  </conditionalFormatting>
  <conditionalFormatting sqref="C23:H23">
    <cfRule type="expression" dxfId="282" priority="7">
      <formula>COUNTIFS($C$11:$C$20,"A1")&gt;0</formula>
    </cfRule>
  </conditionalFormatting>
  <conditionalFormatting sqref="I23">
    <cfRule type="expression" dxfId="281" priority="8">
      <formula>COUNTIFS($D$11:$D$20,"B1")&gt;0</formula>
    </cfRule>
  </conditionalFormatting>
  <conditionalFormatting sqref="I24">
    <cfRule type="expression" dxfId="280" priority="9">
      <formula>COUNTIFS($D$11:$D$20,"B2")&gt;0</formula>
    </cfRule>
  </conditionalFormatting>
  <conditionalFormatting sqref="I25">
    <cfRule type="expression" dxfId="279" priority="10">
      <formula>COUNTIFS($D$11:$D$20,"B3")&gt;0</formula>
    </cfRule>
  </conditionalFormatting>
  <conditionalFormatting sqref="I26">
    <cfRule type="expression" dxfId="278" priority="11">
      <formula>COUNTIFS($D$11:$D$20,"B4")&gt;0</formula>
    </cfRule>
  </conditionalFormatting>
  <conditionalFormatting sqref="I27">
    <cfRule type="expression" dxfId="277" priority="12">
      <formula>COUNTIFS($D$11:$D$20,"B5")&gt;0</formula>
    </cfRule>
  </conditionalFormatting>
  <conditionalFormatting sqref="I28">
    <cfRule type="expression" dxfId="276" priority="13">
      <formula>COUNTIFS($D$11:$D$20,"B6")&gt;0</formula>
    </cfRule>
  </conditionalFormatting>
  <conditionalFormatting sqref="I29">
    <cfRule type="expression" dxfId="275" priority="14">
      <formula>COUNTIFS($D$11:$D$20,"B7")&gt;0</formula>
    </cfRule>
  </conditionalFormatting>
  <conditionalFormatting sqref="I30">
    <cfRule type="expression" dxfId="274" priority="15">
      <formula>COUNTIFS($D$11:$D$20,"B8")&gt;0</formula>
    </cfRule>
  </conditionalFormatting>
  <conditionalFormatting sqref="I31">
    <cfRule type="expression" dxfId="273" priority="16">
      <formula>COUNTIFS($D$11:$D$20,"B9")&gt;0</formula>
    </cfRule>
  </conditionalFormatting>
  <conditionalFormatting sqref="I32">
    <cfRule type="expression" dxfId="272" priority="17">
      <formula>COUNTIFS($D$11:$D$20,"B10")&gt;0</formula>
    </cfRule>
  </conditionalFormatting>
  <conditionalFormatting sqref="I33">
    <cfRule type="expression" dxfId="271" priority="18">
      <formula>COUNTIFS($D$11:$D$20,"B11")&gt;0</formula>
    </cfRule>
  </conditionalFormatting>
  <conditionalFormatting sqref="I34">
    <cfRule type="expression" dxfId="27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63</v>
      </c>
      <c r="D5" s="82"/>
      <c r="E5" s="82"/>
      <c r="F5" s="82"/>
      <c r="G5" s="82"/>
      <c r="H5" s="82"/>
      <c r="I5" s="83"/>
      <c r="J5" s="74" t="s">
        <v>156</v>
      </c>
      <c r="K5" s="82"/>
      <c r="L5" s="80" t="s">
        <v>62</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316</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169</v>
      </c>
      <c r="D11" s="42" t="s">
        <v>200</v>
      </c>
      <c r="E11" s="42">
        <v>5</v>
      </c>
      <c r="F11" s="42"/>
      <c r="G11" s="68" t="s">
        <v>317</v>
      </c>
      <c r="H11" s="91"/>
      <c r="I11" s="91"/>
      <c r="J11" s="91"/>
      <c r="K11" s="91"/>
      <c r="L11" s="91"/>
      <c r="M11" s="91"/>
      <c r="N11" s="92"/>
    </row>
    <row r="12" spans="2:14" ht="84.75" customHeight="1">
      <c r="B12" s="41"/>
      <c r="C12" s="42" t="s">
        <v>168</v>
      </c>
      <c r="D12" s="42" t="s">
        <v>167</v>
      </c>
      <c r="E12" s="42">
        <v>4</v>
      </c>
      <c r="F12" s="42"/>
      <c r="G12" s="68" t="s">
        <v>318</v>
      </c>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f>IFERROR(AVERAGEIFS($E$11:$E$20,$C$11:$C$20,G$37,$D$11:$D$20,$B45),"")</f>
        <v>4</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5</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269" priority="2">
      <formula>COUNTIFS($C$11:$C$20,"A2")&gt;0</formula>
    </cfRule>
  </conditionalFormatting>
  <conditionalFormatting sqref="C25">
    <cfRule type="expression" dxfId="268" priority="3">
      <formula>COUNTIFS($C$11:$C$20,"A3")&gt;0</formula>
    </cfRule>
  </conditionalFormatting>
  <conditionalFormatting sqref="C26">
    <cfRule type="expression" dxfId="267" priority="4">
      <formula>COUNTIFS($C$11:$C$20,"A4")&gt;0</formula>
    </cfRule>
  </conditionalFormatting>
  <conditionalFormatting sqref="C27">
    <cfRule type="expression" dxfId="266" priority="5">
      <formula>COUNTIFS($C$11:$C$20,"A5")&gt;0</formula>
    </cfRule>
  </conditionalFormatting>
  <conditionalFormatting sqref="C28">
    <cfRule type="expression" dxfId="265" priority="6">
      <formula>COUNTIFS($C$11:$C$20,"A6")&gt;0</formula>
    </cfRule>
  </conditionalFormatting>
  <conditionalFormatting sqref="C23:H23">
    <cfRule type="expression" dxfId="264" priority="7">
      <formula>COUNTIFS($C$11:$C$20,"A1")&gt;0</formula>
    </cfRule>
  </conditionalFormatting>
  <conditionalFormatting sqref="I23">
    <cfRule type="expression" dxfId="263" priority="8">
      <formula>COUNTIFS($D$11:$D$20,"B1")&gt;0</formula>
    </cfRule>
  </conditionalFormatting>
  <conditionalFormatting sqref="I24">
    <cfRule type="expression" dxfId="262" priority="9">
      <formula>COUNTIFS($D$11:$D$20,"B2")&gt;0</formula>
    </cfRule>
  </conditionalFormatting>
  <conditionalFormatting sqref="I25">
    <cfRule type="expression" dxfId="261" priority="10">
      <formula>COUNTIFS($D$11:$D$20,"B3")&gt;0</formula>
    </cfRule>
  </conditionalFormatting>
  <conditionalFormatting sqref="I26">
    <cfRule type="expression" dxfId="260" priority="11">
      <formula>COUNTIFS($D$11:$D$20,"B4")&gt;0</formula>
    </cfRule>
  </conditionalFormatting>
  <conditionalFormatting sqref="I27">
    <cfRule type="expression" dxfId="259" priority="12">
      <formula>COUNTIFS($D$11:$D$20,"B5")&gt;0</formula>
    </cfRule>
  </conditionalFormatting>
  <conditionalFormatting sqref="I28">
    <cfRule type="expression" dxfId="258" priority="13">
      <formula>COUNTIFS($D$11:$D$20,"B6")&gt;0</formula>
    </cfRule>
  </conditionalFormatting>
  <conditionalFormatting sqref="I29">
    <cfRule type="expression" dxfId="257" priority="14">
      <formula>COUNTIFS($D$11:$D$20,"B7")&gt;0</formula>
    </cfRule>
  </conditionalFormatting>
  <conditionalFormatting sqref="I30">
    <cfRule type="expression" dxfId="256" priority="15">
      <formula>COUNTIFS($D$11:$D$20,"B8")&gt;0</formula>
    </cfRule>
  </conditionalFormatting>
  <conditionalFormatting sqref="I31">
    <cfRule type="expression" dxfId="255" priority="16">
      <formula>COUNTIFS($D$11:$D$20,"B9")&gt;0</formula>
    </cfRule>
  </conditionalFormatting>
  <conditionalFormatting sqref="I32">
    <cfRule type="expression" dxfId="254" priority="17">
      <formula>COUNTIFS($D$11:$D$20,"B10")&gt;0</formula>
    </cfRule>
  </conditionalFormatting>
  <conditionalFormatting sqref="I33">
    <cfRule type="expression" dxfId="253" priority="18">
      <formula>COUNTIFS($D$11:$D$20,"B11")&gt;0</formula>
    </cfRule>
  </conditionalFormatting>
  <conditionalFormatting sqref="I34">
    <cfRule type="expression" dxfId="252"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206</v>
      </c>
      <c r="D4" s="89"/>
      <c r="E4" s="89"/>
      <c r="F4" s="89"/>
      <c r="G4" s="89"/>
      <c r="H4" s="89"/>
      <c r="I4" s="89"/>
      <c r="J4" s="89"/>
      <c r="K4" s="89"/>
      <c r="L4" s="89"/>
      <c r="M4" s="89"/>
      <c r="N4" s="90"/>
    </row>
    <row r="5" spans="2:14" ht="15" customHeight="1">
      <c r="B5" s="38" t="s">
        <v>155</v>
      </c>
      <c r="C5" s="67" t="s">
        <v>27</v>
      </c>
      <c r="D5" s="82"/>
      <c r="E5" s="82"/>
      <c r="F5" s="82"/>
      <c r="G5" s="82"/>
      <c r="H5" s="82"/>
      <c r="I5" s="83"/>
      <c r="J5" s="74" t="s">
        <v>156</v>
      </c>
      <c r="K5" s="82"/>
      <c r="L5" s="80" t="s">
        <v>64</v>
      </c>
      <c r="M5" s="82"/>
      <c r="N5" s="83"/>
    </row>
    <row r="6" spans="2:14" ht="15" customHeight="1">
      <c r="B6" s="38" t="s">
        <v>157</v>
      </c>
      <c r="C6" s="67" t="s">
        <v>207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319</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171</v>
      </c>
      <c r="D11" s="42" t="s">
        <v>194</v>
      </c>
      <c r="E11" s="42">
        <v>4</v>
      </c>
      <c r="F11" s="42"/>
      <c r="G11" s="68" t="s">
        <v>320</v>
      </c>
      <c r="H11" s="91"/>
      <c r="I11" s="91"/>
      <c r="J11" s="91"/>
      <c r="K11" s="91"/>
      <c r="L11" s="91"/>
      <c r="M11" s="91"/>
      <c r="N11" s="92"/>
    </row>
    <row r="12" spans="2:14" ht="52.9" customHeight="1">
      <c r="B12" s="41"/>
      <c r="C12" s="42" t="s">
        <v>166</v>
      </c>
      <c r="D12" s="42" t="s">
        <v>196</v>
      </c>
      <c r="E12" s="42">
        <v>3</v>
      </c>
      <c r="F12" s="42"/>
      <c r="G12" s="68" t="s">
        <v>210</v>
      </c>
      <c r="H12" s="91"/>
      <c r="I12" s="91"/>
      <c r="J12" s="91"/>
      <c r="K12" s="91"/>
      <c r="L12" s="91"/>
      <c r="M12" s="91"/>
      <c r="N12" s="92"/>
    </row>
    <row r="13" spans="2:14" ht="52.9" customHeight="1">
      <c r="B13" s="41"/>
      <c r="C13" s="42" t="s">
        <v>169</v>
      </c>
      <c r="D13" s="42" t="s">
        <v>200</v>
      </c>
      <c r="E13" s="42">
        <v>3</v>
      </c>
      <c r="F13" s="42"/>
      <c r="G13" s="68" t="s">
        <v>212</v>
      </c>
      <c r="H13" s="91"/>
      <c r="I13" s="91"/>
      <c r="J13" s="91"/>
      <c r="K13" s="91"/>
      <c r="L13" s="91"/>
      <c r="M13" s="91"/>
      <c r="N13" s="92"/>
    </row>
    <row r="14" spans="2:14" ht="52.9" customHeight="1">
      <c r="B14" s="41"/>
      <c r="C14" s="42" t="s">
        <v>168</v>
      </c>
      <c r="D14" s="42" t="s">
        <v>167</v>
      </c>
      <c r="E14" s="42">
        <v>2</v>
      </c>
      <c r="F14" s="42"/>
      <c r="G14" s="68" t="s">
        <v>211</v>
      </c>
      <c r="H14" s="91"/>
      <c r="I14" s="91"/>
      <c r="J14" s="91"/>
      <c r="K14" s="91"/>
      <c r="L14" s="91"/>
      <c r="M14" s="91"/>
      <c r="N14" s="92"/>
    </row>
    <row r="15" spans="2:14" ht="36.75" customHeight="1">
      <c r="B15" s="41"/>
      <c r="C15" s="42" t="s">
        <v>193</v>
      </c>
      <c r="D15" s="42" t="s">
        <v>197</v>
      </c>
      <c r="E15" s="42">
        <v>1</v>
      </c>
      <c r="F15" s="42"/>
      <c r="G15" s="68" t="s">
        <v>321</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f>IFERROR(AVERAGEIFS($E$11:$E$20,$C$11:$C$20,C$37,$D$11:$D$20,$B39),"")</f>
        <v>4</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f>IFERROR(AVERAGEIFS($E$11:$E$20,$C$11:$C$20,E$37,$D$11:$D$20,$B41),"")</f>
        <v>3</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f>IFERROR(AVERAGEIFS($E$11:$E$20,$C$11:$C$20,K$37,$D$11:$D$20,$B42),"")</f>
        <v>1</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f>IFERROR(AVERAGEIFS($E$11:$E$20,$C$11:$C$20,G$37,$D$11:$D$20,$B45),"")</f>
        <v>2</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3</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251" priority="2">
      <formula>COUNTIFS($C$11:$C$20,"A2")&gt;0</formula>
    </cfRule>
  </conditionalFormatting>
  <conditionalFormatting sqref="C25">
    <cfRule type="expression" dxfId="250" priority="3">
      <formula>COUNTIFS($C$11:$C$20,"A3")&gt;0</formula>
    </cfRule>
  </conditionalFormatting>
  <conditionalFormatting sqref="C26">
    <cfRule type="expression" dxfId="249" priority="4">
      <formula>COUNTIFS($C$11:$C$20,"A4")&gt;0</formula>
    </cfRule>
  </conditionalFormatting>
  <conditionalFormatting sqref="C27">
    <cfRule type="expression" dxfId="248" priority="5">
      <formula>COUNTIFS($C$11:$C$20,"A5")&gt;0</formula>
    </cfRule>
  </conditionalFormatting>
  <conditionalFormatting sqref="C28">
    <cfRule type="expression" dxfId="247" priority="6">
      <formula>COUNTIFS($C$11:$C$20,"A6")&gt;0</formula>
    </cfRule>
  </conditionalFormatting>
  <conditionalFormatting sqref="C23:H23">
    <cfRule type="expression" dxfId="246" priority="7">
      <formula>COUNTIFS($C$11:$C$20,"A1")&gt;0</formula>
    </cfRule>
  </conditionalFormatting>
  <conditionalFormatting sqref="I23">
    <cfRule type="expression" dxfId="245" priority="8">
      <formula>COUNTIFS($D$11:$D$20,"B1")&gt;0</formula>
    </cfRule>
  </conditionalFormatting>
  <conditionalFormatting sqref="I24">
    <cfRule type="expression" dxfId="244" priority="9">
      <formula>COUNTIFS($D$11:$D$20,"B2")&gt;0</formula>
    </cfRule>
  </conditionalFormatting>
  <conditionalFormatting sqref="I25">
    <cfRule type="expression" dxfId="243" priority="10">
      <formula>COUNTIFS($D$11:$D$20,"B3")&gt;0</formula>
    </cfRule>
  </conditionalFormatting>
  <conditionalFormatting sqref="I26">
    <cfRule type="expression" dxfId="242" priority="11">
      <formula>COUNTIFS($D$11:$D$20,"B4")&gt;0</formula>
    </cfRule>
  </conditionalFormatting>
  <conditionalFormatting sqref="I27">
    <cfRule type="expression" dxfId="241" priority="12">
      <formula>COUNTIFS($D$11:$D$20,"B5")&gt;0</formula>
    </cfRule>
  </conditionalFormatting>
  <conditionalFormatting sqref="I28">
    <cfRule type="expression" dxfId="240" priority="13">
      <formula>COUNTIFS($D$11:$D$20,"B6")&gt;0</formula>
    </cfRule>
  </conditionalFormatting>
  <conditionalFormatting sqref="I29">
    <cfRule type="expression" dxfId="239" priority="14">
      <formula>COUNTIFS($D$11:$D$20,"B7")&gt;0</formula>
    </cfRule>
  </conditionalFormatting>
  <conditionalFormatting sqref="I30">
    <cfRule type="expression" dxfId="238" priority="15">
      <formula>COUNTIFS($D$11:$D$20,"B8")&gt;0</formula>
    </cfRule>
  </conditionalFormatting>
  <conditionalFormatting sqref="I31">
    <cfRule type="expression" dxfId="237" priority="16">
      <formula>COUNTIFS($D$11:$D$20,"B9")&gt;0</formula>
    </cfRule>
  </conditionalFormatting>
  <conditionalFormatting sqref="I32">
    <cfRule type="expression" dxfId="236" priority="17">
      <formula>COUNTIFS($D$11:$D$20,"B10")&gt;0</formula>
    </cfRule>
  </conditionalFormatting>
  <conditionalFormatting sqref="I33">
    <cfRule type="expression" dxfId="235" priority="18">
      <formula>COUNTIFS($D$11:$D$20,"B11")&gt;0</formula>
    </cfRule>
  </conditionalFormatting>
  <conditionalFormatting sqref="I34">
    <cfRule type="expression" dxfId="234"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66</v>
      </c>
      <c r="D5" s="82"/>
      <c r="E5" s="82"/>
      <c r="F5" s="82"/>
      <c r="G5" s="82"/>
      <c r="H5" s="82"/>
      <c r="I5" s="83"/>
      <c r="J5" s="74" t="s">
        <v>156</v>
      </c>
      <c r="K5" s="82"/>
      <c r="L5" s="80" t="s">
        <v>65</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322</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202</v>
      </c>
      <c r="E11" s="42">
        <v>4</v>
      </c>
      <c r="F11" s="42"/>
      <c r="G11" s="68" t="s">
        <v>323</v>
      </c>
      <c r="H11" s="91"/>
      <c r="I11" s="91"/>
      <c r="J11" s="91"/>
      <c r="K11" s="91"/>
      <c r="L11" s="91"/>
      <c r="M11" s="91"/>
      <c r="N11" s="92"/>
    </row>
    <row r="12" spans="2:14" ht="52.9" customHeight="1">
      <c r="B12" s="41"/>
      <c r="C12" s="42" t="s">
        <v>169</v>
      </c>
      <c r="D12" s="42" t="s">
        <v>167</v>
      </c>
      <c r="E12" s="42">
        <v>4</v>
      </c>
      <c r="F12" s="42"/>
      <c r="G12" s="68" t="s">
        <v>324</v>
      </c>
      <c r="H12" s="91"/>
      <c r="I12" s="91"/>
      <c r="J12" s="91"/>
      <c r="K12" s="91"/>
      <c r="L12" s="91"/>
      <c r="M12" s="91"/>
      <c r="N12" s="92"/>
    </row>
    <row r="13" spans="2:14" ht="36.75" customHeight="1">
      <c r="B13" s="41"/>
      <c r="C13" s="42" t="s">
        <v>169</v>
      </c>
      <c r="D13" s="42" t="s">
        <v>167</v>
      </c>
      <c r="E13" s="42">
        <v>4</v>
      </c>
      <c r="F13" s="42"/>
      <c r="G13" s="68" t="s">
        <v>325</v>
      </c>
      <c r="H13" s="91"/>
      <c r="I13" s="91"/>
      <c r="J13" s="91"/>
      <c r="K13" s="91"/>
      <c r="L13" s="91"/>
      <c r="M13" s="91"/>
      <c r="N13" s="92"/>
    </row>
    <row r="14" spans="2:14" ht="52.9" customHeight="1">
      <c r="B14" s="41"/>
      <c r="C14" s="42" t="s">
        <v>168</v>
      </c>
      <c r="D14" s="42" t="s">
        <v>172</v>
      </c>
      <c r="E14" s="42">
        <v>3</v>
      </c>
      <c r="F14" s="42"/>
      <c r="G14" s="68" t="s">
        <v>326</v>
      </c>
      <c r="H14" s="91"/>
      <c r="I14" s="91"/>
      <c r="J14" s="91"/>
      <c r="K14" s="91"/>
      <c r="L14" s="91"/>
      <c r="M14" s="91"/>
      <c r="N14" s="92"/>
    </row>
    <row r="15" spans="2:14" ht="68.849999999999994" customHeight="1">
      <c r="B15" s="41"/>
      <c r="C15" s="42" t="s">
        <v>166</v>
      </c>
      <c r="D15" s="42" t="s">
        <v>202</v>
      </c>
      <c r="E15" s="42">
        <v>3</v>
      </c>
      <c r="F15" s="42"/>
      <c r="G15" s="68" t="s">
        <v>327</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4</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3</v>
      </c>
      <c r="F48" s="18" t="str">
        <f>IFERROR(AVERAGEIFS($F$11:$F$20,$C$11:$C$20,E$37,$D$11:$D$20,$B48),"")</f>
        <v/>
      </c>
      <c r="G48" s="17" t="str">
        <f>IFERROR(AVERAGEIFS($E$11:$E$20,$C$11:$C$20,G$37,$D$11:$D$20,$B48),"")</f>
        <v/>
      </c>
      <c r="H48" s="17" t="str">
        <f>IFERROR(AVERAGEIFS($F$11:$F$20,$C$11:$C$20,G$37,$D$11:$D$20,$B48),"")</f>
        <v/>
      </c>
      <c r="I48" s="18">
        <f>IFERROR(AVERAGEIFS($E$11:$E$20,$C$11:$C$20,I$37,$D$11:$D$20,$B48),"")</f>
        <v>4</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f>IFERROR(AVERAGEIFS($E$11:$E$20,$C$11:$C$20,G$37,$D$11:$D$20,$B49),"")</f>
        <v>3</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233" priority="2">
      <formula>COUNTIFS($C$11:$C$20,"A2")&gt;0</formula>
    </cfRule>
  </conditionalFormatting>
  <conditionalFormatting sqref="C25">
    <cfRule type="expression" dxfId="232" priority="3">
      <formula>COUNTIFS($C$11:$C$20,"A3")&gt;0</formula>
    </cfRule>
  </conditionalFormatting>
  <conditionalFormatting sqref="C26">
    <cfRule type="expression" dxfId="231" priority="4">
      <formula>COUNTIFS($C$11:$C$20,"A4")&gt;0</formula>
    </cfRule>
  </conditionalFormatting>
  <conditionalFormatting sqref="C27">
    <cfRule type="expression" dxfId="230" priority="5">
      <formula>COUNTIFS($C$11:$C$20,"A5")&gt;0</formula>
    </cfRule>
  </conditionalFormatting>
  <conditionalFormatting sqref="C28">
    <cfRule type="expression" dxfId="229" priority="6">
      <formula>COUNTIFS($C$11:$C$20,"A6")&gt;0</formula>
    </cfRule>
  </conditionalFormatting>
  <conditionalFormatting sqref="C23:H23">
    <cfRule type="expression" dxfId="228" priority="7">
      <formula>COUNTIFS($C$11:$C$20,"A1")&gt;0</formula>
    </cfRule>
  </conditionalFormatting>
  <conditionalFormatting sqref="I23">
    <cfRule type="expression" dxfId="227" priority="8">
      <formula>COUNTIFS($D$11:$D$20,"B1")&gt;0</formula>
    </cfRule>
  </conditionalFormatting>
  <conditionalFormatting sqref="I24">
    <cfRule type="expression" dxfId="226" priority="9">
      <formula>COUNTIFS($D$11:$D$20,"B2")&gt;0</formula>
    </cfRule>
  </conditionalFormatting>
  <conditionalFormatting sqref="I25">
    <cfRule type="expression" dxfId="225" priority="10">
      <formula>COUNTIFS($D$11:$D$20,"B3")&gt;0</formula>
    </cfRule>
  </conditionalFormatting>
  <conditionalFormatting sqref="I26">
    <cfRule type="expression" dxfId="224" priority="11">
      <formula>COUNTIFS($D$11:$D$20,"B4")&gt;0</formula>
    </cfRule>
  </conditionalFormatting>
  <conditionalFormatting sqref="I27">
    <cfRule type="expression" dxfId="223" priority="12">
      <formula>COUNTIFS($D$11:$D$20,"B5")&gt;0</formula>
    </cfRule>
  </conditionalFormatting>
  <conditionalFormatting sqref="I28">
    <cfRule type="expression" dxfId="222" priority="13">
      <formula>COUNTIFS($D$11:$D$20,"B6")&gt;0</formula>
    </cfRule>
  </conditionalFormatting>
  <conditionalFormatting sqref="I29">
    <cfRule type="expression" dxfId="221" priority="14">
      <formula>COUNTIFS($D$11:$D$20,"B7")&gt;0</formula>
    </cfRule>
  </conditionalFormatting>
  <conditionalFormatting sqref="I30">
    <cfRule type="expression" dxfId="220" priority="15">
      <formula>COUNTIFS($D$11:$D$20,"B8")&gt;0</formula>
    </cfRule>
  </conditionalFormatting>
  <conditionalFormatting sqref="I31">
    <cfRule type="expression" dxfId="219" priority="16">
      <formula>COUNTIFS($D$11:$D$20,"B9")&gt;0</formula>
    </cfRule>
  </conditionalFormatting>
  <conditionalFormatting sqref="I32">
    <cfRule type="expression" dxfId="218" priority="17">
      <formula>COUNTIFS($D$11:$D$20,"B10")&gt;0</formula>
    </cfRule>
  </conditionalFormatting>
  <conditionalFormatting sqref="I33">
    <cfRule type="expression" dxfId="217" priority="18">
      <formula>COUNTIFS($D$11:$D$20,"B11")&gt;0</formula>
    </cfRule>
  </conditionalFormatting>
  <conditionalFormatting sqref="I34">
    <cfRule type="expression" dxfId="21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206</v>
      </c>
      <c r="D4" s="89"/>
      <c r="E4" s="89"/>
      <c r="F4" s="89"/>
      <c r="G4" s="89"/>
      <c r="H4" s="89"/>
      <c r="I4" s="89"/>
      <c r="J4" s="89"/>
      <c r="K4" s="89"/>
      <c r="L4" s="89"/>
      <c r="M4" s="89"/>
      <c r="N4" s="90"/>
    </row>
    <row r="5" spans="2:14" ht="15" customHeight="1">
      <c r="B5" s="38" t="s">
        <v>155</v>
      </c>
      <c r="C5" s="67" t="s">
        <v>68</v>
      </c>
      <c r="D5" s="82"/>
      <c r="E5" s="82"/>
      <c r="F5" s="82"/>
      <c r="G5" s="82"/>
      <c r="H5" s="82"/>
      <c r="I5" s="83"/>
      <c r="J5" s="74" t="s">
        <v>156</v>
      </c>
      <c r="K5" s="82"/>
      <c r="L5" s="80" t="s">
        <v>67</v>
      </c>
      <c r="M5" s="82"/>
      <c r="N5" s="83"/>
    </row>
    <row r="6" spans="2:14" ht="15" customHeight="1">
      <c r="B6" s="38" t="s">
        <v>157</v>
      </c>
      <c r="C6" s="67" t="s">
        <v>207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328</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171</v>
      </c>
      <c r="D11" s="42" t="s">
        <v>194</v>
      </c>
      <c r="E11" s="42">
        <v>4</v>
      </c>
      <c r="F11" s="42"/>
      <c r="G11" s="68" t="s">
        <v>329</v>
      </c>
      <c r="H11" s="91"/>
      <c r="I11" s="91"/>
      <c r="J11" s="91"/>
      <c r="K11" s="91"/>
      <c r="L11" s="91"/>
      <c r="M11" s="91"/>
      <c r="N11" s="92"/>
    </row>
    <row r="12" spans="2:14" ht="52.9" customHeight="1">
      <c r="B12" s="41"/>
      <c r="C12" s="42" t="s">
        <v>168</v>
      </c>
      <c r="D12" s="42" t="s">
        <v>196</v>
      </c>
      <c r="E12" s="42">
        <v>3</v>
      </c>
      <c r="F12" s="42"/>
      <c r="G12" s="68" t="s">
        <v>330</v>
      </c>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f>IFERROR(AVERAGEIFS($E$11:$E$20,$C$11:$C$20,C$37,$D$11:$D$20,$B39),"")</f>
        <v>4</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3</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215" priority="2">
      <formula>COUNTIFS($C$11:$C$20,"A2")&gt;0</formula>
    </cfRule>
  </conditionalFormatting>
  <conditionalFormatting sqref="C25">
    <cfRule type="expression" dxfId="214" priority="3">
      <formula>COUNTIFS($C$11:$C$20,"A3")&gt;0</formula>
    </cfRule>
  </conditionalFormatting>
  <conditionalFormatting sqref="C26">
    <cfRule type="expression" dxfId="213" priority="4">
      <formula>COUNTIFS($C$11:$C$20,"A4")&gt;0</formula>
    </cfRule>
  </conditionalFormatting>
  <conditionalFormatting sqref="C27">
    <cfRule type="expression" dxfId="212" priority="5">
      <formula>COUNTIFS($C$11:$C$20,"A5")&gt;0</formula>
    </cfRule>
  </conditionalFormatting>
  <conditionalFormatting sqref="C28">
    <cfRule type="expression" dxfId="211" priority="6">
      <formula>COUNTIFS($C$11:$C$20,"A6")&gt;0</formula>
    </cfRule>
  </conditionalFormatting>
  <conditionalFormatting sqref="C23:H23">
    <cfRule type="expression" dxfId="210" priority="7">
      <formula>COUNTIFS($C$11:$C$20,"A1")&gt;0</formula>
    </cfRule>
  </conditionalFormatting>
  <conditionalFormatting sqref="I23">
    <cfRule type="expression" dxfId="209" priority="8">
      <formula>COUNTIFS($D$11:$D$20,"B1")&gt;0</formula>
    </cfRule>
  </conditionalFormatting>
  <conditionalFormatting sqref="I24">
    <cfRule type="expression" dxfId="208" priority="9">
      <formula>COUNTIFS($D$11:$D$20,"B2")&gt;0</formula>
    </cfRule>
  </conditionalFormatting>
  <conditionalFormatting sqref="I25">
    <cfRule type="expression" dxfId="207" priority="10">
      <formula>COUNTIFS($D$11:$D$20,"B3")&gt;0</formula>
    </cfRule>
  </conditionalFormatting>
  <conditionalFormatting sqref="I26">
    <cfRule type="expression" dxfId="206" priority="11">
      <formula>COUNTIFS($D$11:$D$20,"B4")&gt;0</formula>
    </cfRule>
  </conditionalFormatting>
  <conditionalFormatting sqref="I27">
    <cfRule type="expression" dxfId="205" priority="12">
      <formula>COUNTIFS($D$11:$D$20,"B5")&gt;0</formula>
    </cfRule>
  </conditionalFormatting>
  <conditionalFormatting sqref="I28">
    <cfRule type="expression" dxfId="204" priority="13">
      <formula>COUNTIFS($D$11:$D$20,"B6")&gt;0</formula>
    </cfRule>
  </conditionalFormatting>
  <conditionalFormatting sqref="I29">
    <cfRule type="expression" dxfId="203" priority="14">
      <formula>COUNTIFS($D$11:$D$20,"B7")&gt;0</formula>
    </cfRule>
  </conditionalFormatting>
  <conditionalFormatting sqref="I30">
    <cfRule type="expression" dxfId="202" priority="15">
      <formula>COUNTIFS($D$11:$D$20,"B8")&gt;0</formula>
    </cfRule>
  </conditionalFormatting>
  <conditionalFormatting sqref="I31">
    <cfRule type="expression" dxfId="201" priority="16">
      <formula>COUNTIFS($D$11:$D$20,"B9")&gt;0</formula>
    </cfRule>
  </conditionalFormatting>
  <conditionalFormatting sqref="I32">
    <cfRule type="expression" dxfId="200" priority="17">
      <formula>COUNTIFS($D$11:$D$20,"B10")&gt;0</formula>
    </cfRule>
  </conditionalFormatting>
  <conditionalFormatting sqref="I33">
    <cfRule type="expression" dxfId="199" priority="18">
      <formula>COUNTIFS($D$11:$D$20,"B11")&gt;0</formula>
    </cfRule>
  </conditionalFormatting>
  <conditionalFormatting sqref="I34">
    <cfRule type="expression" dxfId="19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40</v>
      </c>
      <c r="D5" s="82"/>
      <c r="E5" s="82"/>
      <c r="F5" s="82"/>
      <c r="G5" s="82"/>
      <c r="H5" s="82"/>
      <c r="I5" s="83"/>
      <c r="J5" s="74" t="s">
        <v>156</v>
      </c>
      <c r="K5" s="82"/>
      <c r="L5" s="80" t="s">
        <v>69</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241</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170</v>
      </c>
      <c r="D11" s="42" t="s">
        <v>197</v>
      </c>
      <c r="E11" s="42">
        <v>5</v>
      </c>
      <c r="F11" s="42"/>
      <c r="G11" s="68" t="s">
        <v>331</v>
      </c>
      <c r="H11" s="91"/>
      <c r="I11" s="91"/>
      <c r="J11" s="91"/>
      <c r="K11" s="91"/>
      <c r="L11" s="91"/>
      <c r="M11" s="91"/>
      <c r="N11" s="92"/>
    </row>
    <row r="12" spans="2:14" ht="52.9" customHeight="1">
      <c r="B12" s="41"/>
      <c r="C12" s="42" t="s">
        <v>168</v>
      </c>
      <c r="D12" s="42" t="s">
        <v>201</v>
      </c>
      <c r="E12" s="42">
        <v>4</v>
      </c>
      <c r="F12" s="42"/>
      <c r="G12" s="68" t="s">
        <v>332</v>
      </c>
      <c r="H12" s="91"/>
      <c r="I12" s="91"/>
      <c r="J12" s="91"/>
      <c r="K12" s="91"/>
      <c r="L12" s="91"/>
      <c r="M12" s="91"/>
      <c r="N12" s="92"/>
    </row>
    <row r="13" spans="2:14" ht="68.849999999999994" customHeight="1">
      <c r="B13" s="41"/>
      <c r="C13" s="42" t="s">
        <v>171</v>
      </c>
      <c r="D13" s="42" t="s">
        <v>200</v>
      </c>
      <c r="E13" s="42">
        <v>4</v>
      </c>
      <c r="F13" s="42"/>
      <c r="G13" s="68" t="s">
        <v>333</v>
      </c>
      <c r="H13" s="91"/>
      <c r="I13" s="91"/>
      <c r="J13" s="91"/>
      <c r="K13" s="91"/>
      <c r="L13" s="91"/>
      <c r="M13" s="91"/>
      <c r="N13" s="92"/>
    </row>
    <row r="14" spans="2:14" ht="52.9" customHeight="1">
      <c r="B14" s="41"/>
      <c r="C14" s="42" t="s">
        <v>169</v>
      </c>
      <c r="D14" s="42" t="s">
        <v>172</v>
      </c>
      <c r="E14" s="42">
        <v>4</v>
      </c>
      <c r="F14" s="42"/>
      <c r="G14" s="68" t="s">
        <v>334</v>
      </c>
      <c r="H14" s="91"/>
      <c r="I14" s="91"/>
      <c r="J14" s="91"/>
      <c r="K14" s="91"/>
      <c r="L14" s="91"/>
      <c r="M14" s="91"/>
      <c r="N14" s="92"/>
    </row>
    <row r="15" spans="2:14" ht="52.9" customHeight="1">
      <c r="B15" s="41"/>
      <c r="C15" s="42" t="s">
        <v>170</v>
      </c>
      <c r="D15" s="42" t="s">
        <v>200</v>
      </c>
      <c r="E15" s="42">
        <v>4</v>
      </c>
      <c r="F15" s="42"/>
      <c r="G15" s="68" t="s">
        <v>335</v>
      </c>
      <c r="H15" s="91"/>
      <c r="I15" s="91"/>
      <c r="J15" s="91"/>
      <c r="K15" s="91"/>
      <c r="L15" s="91"/>
      <c r="M15" s="91"/>
      <c r="N15" s="92"/>
    </row>
    <row r="16" spans="2:14" ht="68.849999999999994" customHeight="1">
      <c r="B16" s="41"/>
      <c r="C16" s="42" t="s">
        <v>168</v>
      </c>
      <c r="D16" s="42" t="s">
        <v>196</v>
      </c>
      <c r="E16" s="42">
        <v>4</v>
      </c>
      <c r="F16" s="42"/>
      <c r="G16" s="68" t="s">
        <v>242</v>
      </c>
      <c r="H16" s="91"/>
      <c r="I16" s="91"/>
      <c r="J16" s="91"/>
      <c r="K16" s="91"/>
      <c r="L16" s="91"/>
      <c r="M16" s="91"/>
      <c r="N16" s="92"/>
    </row>
    <row r="17" spans="2:14" ht="68.849999999999994" customHeight="1">
      <c r="B17" s="41"/>
      <c r="C17" s="42" t="s">
        <v>170</v>
      </c>
      <c r="D17" s="42" t="s">
        <v>200</v>
      </c>
      <c r="E17" s="42">
        <v>4</v>
      </c>
      <c r="F17" s="42"/>
      <c r="G17" s="68" t="s">
        <v>244</v>
      </c>
      <c r="H17" s="91"/>
      <c r="I17" s="91"/>
      <c r="J17" s="91"/>
      <c r="K17" s="91"/>
      <c r="L17" s="91"/>
      <c r="M17" s="91"/>
      <c r="N17" s="92"/>
    </row>
    <row r="18" spans="2:14" ht="52.9" customHeight="1">
      <c r="B18" s="41"/>
      <c r="C18" s="42" t="s">
        <v>169</v>
      </c>
      <c r="D18" s="42" t="s">
        <v>172</v>
      </c>
      <c r="E18" s="42">
        <v>3</v>
      </c>
      <c r="F18" s="42"/>
      <c r="G18" s="68" t="s">
        <v>336</v>
      </c>
      <c r="H18" s="91"/>
      <c r="I18" s="91"/>
      <c r="J18" s="91"/>
      <c r="K18" s="91"/>
      <c r="L18" s="91"/>
      <c r="M18" s="91"/>
      <c r="N18" s="92"/>
    </row>
    <row r="19" spans="2:14" ht="68.849999999999994" customHeight="1">
      <c r="B19" s="41"/>
      <c r="C19" s="42" t="s">
        <v>166</v>
      </c>
      <c r="D19" s="42" t="s">
        <v>202</v>
      </c>
      <c r="E19" s="42">
        <v>3</v>
      </c>
      <c r="F19" s="42"/>
      <c r="G19" s="68" t="s">
        <v>337</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4</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f>IFERROR(AVERAGEIFS($E$11:$E$20,$C$11:$C$20,M$37,$D$11:$D$20,$B42),"")</f>
        <v>5</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f>IFERROR(AVERAGEIFS($E$11:$E$20,$C$11:$C$20,C$37,$D$11:$D$20,$B46),"")</f>
        <v>4</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f>IFERROR(AVERAGEIFS($E$11:$E$20,$C$11:$C$20,M$37,$D$11:$D$20,$B46),"")</f>
        <v>4</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f>IFERROR(AVERAGEIFS($E$11:$E$20,$C$11:$C$20,G$37,$D$11:$D$20,$B47),"")</f>
        <v>4</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3</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f>IFERROR(AVERAGEIFS($E$11:$E$20,$C$11:$C$20,I$37,$D$11:$D$20,$B49),"")</f>
        <v>3.5</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97" priority="2">
      <formula>COUNTIFS($C$11:$C$20,"A2")&gt;0</formula>
    </cfRule>
  </conditionalFormatting>
  <conditionalFormatting sqref="C25">
    <cfRule type="expression" dxfId="196" priority="3">
      <formula>COUNTIFS($C$11:$C$20,"A3")&gt;0</formula>
    </cfRule>
  </conditionalFormatting>
  <conditionalFormatting sqref="C26">
    <cfRule type="expression" dxfId="195" priority="4">
      <formula>COUNTIFS($C$11:$C$20,"A4")&gt;0</formula>
    </cfRule>
  </conditionalFormatting>
  <conditionalFormatting sqref="C27">
    <cfRule type="expression" dxfId="194" priority="5">
      <formula>COUNTIFS($C$11:$C$20,"A5")&gt;0</formula>
    </cfRule>
  </conditionalFormatting>
  <conditionalFormatting sqref="C28">
    <cfRule type="expression" dxfId="193" priority="6">
      <formula>COUNTIFS($C$11:$C$20,"A6")&gt;0</formula>
    </cfRule>
  </conditionalFormatting>
  <conditionalFormatting sqref="C23:H23">
    <cfRule type="expression" dxfId="192" priority="7">
      <formula>COUNTIFS($C$11:$C$20,"A1")&gt;0</formula>
    </cfRule>
  </conditionalFormatting>
  <conditionalFormatting sqref="I23">
    <cfRule type="expression" dxfId="191" priority="8">
      <formula>COUNTIFS($D$11:$D$20,"B1")&gt;0</formula>
    </cfRule>
  </conditionalFormatting>
  <conditionalFormatting sqref="I24">
    <cfRule type="expression" dxfId="190" priority="9">
      <formula>COUNTIFS($D$11:$D$20,"B2")&gt;0</formula>
    </cfRule>
  </conditionalFormatting>
  <conditionalFormatting sqref="I25">
    <cfRule type="expression" dxfId="189" priority="10">
      <formula>COUNTIFS($D$11:$D$20,"B3")&gt;0</formula>
    </cfRule>
  </conditionalFormatting>
  <conditionalFormatting sqref="I26">
    <cfRule type="expression" dxfId="188" priority="11">
      <formula>COUNTIFS($D$11:$D$20,"B4")&gt;0</formula>
    </cfRule>
  </conditionalFormatting>
  <conditionalFormatting sqref="I27">
    <cfRule type="expression" dxfId="187" priority="12">
      <formula>COUNTIFS($D$11:$D$20,"B5")&gt;0</formula>
    </cfRule>
  </conditionalFormatting>
  <conditionalFormatting sqref="I28">
    <cfRule type="expression" dxfId="186" priority="13">
      <formula>COUNTIFS($D$11:$D$20,"B6")&gt;0</formula>
    </cfRule>
  </conditionalFormatting>
  <conditionalFormatting sqref="I29">
    <cfRule type="expression" dxfId="185" priority="14">
      <formula>COUNTIFS($D$11:$D$20,"B7")&gt;0</formula>
    </cfRule>
  </conditionalFormatting>
  <conditionalFormatting sqref="I30">
    <cfRule type="expression" dxfId="184" priority="15">
      <formula>COUNTIFS($D$11:$D$20,"B8")&gt;0</formula>
    </cfRule>
  </conditionalFormatting>
  <conditionalFormatting sqref="I31">
    <cfRule type="expression" dxfId="183" priority="16">
      <formula>COUNTIFS($D$11:$D$20,"B9")&gt;0</formula>
    </cfRule>
  </conditionalFormatting>
  <conditionalFormatting sqref="I32">
    <cfRule type="expression" dxfId="182" priority="17">
      <formula>COUNTIFS($D$11:$D$20,"B10")&gt;0</formula>
    </cfRule>
  </conditionalFormatting>
  <conditionalFormatting sqref="I33">
    <cfRule type="expression" dxfId="181" priority="18">
      <formula>COUNTIFS($D$11:$D$20,"B11")&gt;0</formula>
    </cfRule>
  </conditionalFormatting>
  <conditionalFormatting sqref="I34">
    <cfRule type="expression" dxfId="18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35</v>
      </c>
      <c r="D5" s="82"/>
      <c r="E5" s="82"/>
      <c r="F5" s="82"/>
      <c r="G5" s="82"/>
      <c r="H5" s="82"/>
      <c r="I5" s="83"/>
      <c r="J5" s="74" t="s">
        <v>156</v>
      </c>
      <c r="K5" s="82"/>
      <c r="L5" s="80" t="s">
        <v>70</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232</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196</v>
      </c>
      <c r="E11" s="42">
        <v>5</v>
      </c>
      <c r="F11" s="42"/>
      <c r="G11" s="68" t="s">
        <v>338</v>
      </c>
      <c r="H11" s="91"/>
      <c r="I11" s="91"/>
      <c r="J11" s="91"/>
      <c r="K11" s="91"/>
      <c r="L11" s="91"/>
      <c r="M11" s="91"/>
      <c r="N11" s="92"/>
    </row>
    <row r="12" spans="2:14" ht="52.9" customHeight="1">
      <c r="B12" s="41"/>
      <c r="C12" s="42" t="s">
        <v>169</v>
      </c>
      <c r="D12" s="42" t="s">
        <v>172</v>
      </c>
      <c r="E12" s="42">
        <v>4</v>
      </c>
      <c r="F12" s="42"/>
      <c r="G12" s="68" t="s">
        <v>339</v>
      </c>
      <c r="H12" s="91"/>
      <c r="I12" s="91"/>
      <c r="J12" s="91"/>
      <c r="K12" s="91"/>
      <c r="L12" s="91"/>
      <c r="M12" s="91"/>
      <c r="N12" s="92"/>
    </row>
    <row r="13" spans="2:14" ht="68.849999999999994" customHeight="1">
      <c r="B13" s="41"/>
      <c r="C13" s="42" t="s">
        <v>168</v>
      </c>
      <c r="D13" s="42" t="s">
        <v>196</v>
      </c>
      <c r="E13" s="42">
        <v>4</v>
      </c>
      <c r="F13" s="42"/>
      <c r="G13" s="68" t="s">
        <v>233</v>
      </c>
      <c r="H13" s="91"/>
      <c r="I13" s="91"/>
      <c r="J13" s="91"/>
      <c r="K13" s="91"/>
      <c r="L13" s="91"/>
      <c r="M13" s="91"/>
      <c r="N13" s="92"/>
    </row>
    <row r="14" spans="2:14" ht="68.849999999999994" customHeight="1">
      <c r="B14" s="41"/>
      <c r="C14" s="42" t="s">
        <v>171</v>
      </c>
      <c r="D14" s="42" t="s">
        <v>172</v>
      </c>
      <c r="E14" s="42">
        <v>4</v>
      </c>
      <c r="F14" s="42"/>
      <c r="G14" s="68" t="s">
        <v>235</v>
      </c>
      <c r="H14" s="91"/>
      <c r="I14" s="91"/>
      <c r="J14" s="91"/>
      <c r="K14" s="91"/>
      <c r="L14" s="91"/>
      <c r="M14" s="91"/>
      <c r="N14" s="92"/>
    </row>
    <row r="15" spans="2:14" ht="116.85" customHeight="1">
      <c r="B15" s="41"/>
      <c r="C15" s="42" t="s">
        <v>169</v>
      </c>
      <c r="D15" s="42" t="s">
        <v>200</v>
      </c>
      <c r="E15" s="42">
        <v>3</v>
      </c>
      <c r="F15" s="42"/>
      <c r="G15" s="68" t="s">
        <v>340</v>
      </c>
      <c r="H15" s="91"/>
      <c r="I15" s="91"/>
      <c r="J15" s="91"/>
      <c r="K15" s="91"/>
      <c r="L15" s="91"/>
      <c r="M15" s="91"/>
      <c r="N15" s="92"/>
    </row>
    <row r="16" spans="2:14" ht="100.9" customHeight="1">
      <c r="B16" s="41"/>
      <c r="C16" s="42" t="s">
        <v>166</v>
      </c>
      <c r="D16" s="42" t="s">
        <v>202</v>
      </c>
      <c r="E16" s="42">
        <v>3</v>
      </c>
      <c r="F16" s="42"/>
      <c r="G16" s="68" t="s">
        <v>341</v>
      </c>
      <c r="H16" s="91"/>
      <c r="I16" s="91"/>
      <c r="J16" s="91"/>
      <c r="K16" s="91"/>
      <c r="L16" s="91"/>
      <c r="M16" s="91"/>
      <c r="N16" s="92"/>
    </row>
    <row r="17" spans="2:14" ht="68.849999999999994" customHeight="1">
      <c r="B17" s="41"/>
      <c r="C17" s="42" t="s">
        <v>169</v>
      </c>
      <c r="D17" s="42" t="s">
        <v>200</v>
      </c>
      <c r="E17" s="42">
        <v>3</v>
      </c>
      <c r="F17" s="42"/>
      <c r="G17" s="68" t="s">
        <v>234</v>
      </c>
      <c r="H17" s="91"/>
      <c r="I17" s="91"/>
      <c r="J17" s="91"/>
      <c r="K17" s="91"/>
      <c r="L17" s="91"/>
      <c r="M17" s="91"/>
      <c r="N17" s="92"/>
    </row>
    <row r="18" spans="2:14" ht="68.849999999999994" customHeight="1">
      <c r="B18" s="41"/>
      <c r="C18" s="42" t="s">
        <v>168</v>
      </c>
      <c r="D18" s="42" t="s">
        <v>196</v>
      </c>
      <c r="E18" s="42"/>
      <c r="F18" s="42">
        <v>3</v>
      </c>
      <c r="G18" s="68" t="s">
        <v>236</v>
      </c>
      <c r="H18" s="91"/>
      <c r="I18" s="91"/>
      <c r="J18" s="91"/>
      <c r="K18" s="91"/>
      <c r="L18" s="91"/>
      <c r="M18" s="91"/>
      <c r="N18" s="92"/>
    </row>
    <row r="19" spans="2:14" ht="36.75" customHeight="1">
      <c r="B19" s="41"/>
      <c r="C19" s="42" t="s">
        <v>169</v>
      </c>
      <c r="D19" s="42" t="s">
        <v>202</v>
      </c>
      <c r="E19" s="42">
        <v>2</v>
      </c>
      <c r="F19" s="42"/>
      <c r="G19" s="68" t="s">
        <v>342</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4</v>
      </c>
      <c r="H41" s="17">
        <f>IFERROR(AVERAGEIFS($F$11:$F$20,$C$11:$C$20,G$37,$D$11:$D$20,$B41),"")</f>
        <v>3</v>
      </c>
      <c r="I41" s="18">
        <f>IFERROR(AVERAGEIFS($E$11:$E$20,$C$11:$C$20,I$37,$D$11:$D$20,$B41),"")</f>
        <v>5</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3</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3</v>
      </c>
      <c r="F48" s="18" t="str">
        <f>IFERROR(AVERAGEIFS($F$11:$F$20,$C$11:$C$20,E$37,$D$11:$D$20,$B48),"")</f>
        <v/>
      </c>
      <c r="G48" s="17" t="str">
        <f>IFERROR(AVERAGEIFS($E$11:$E$20,$C$11:$C$20,G$37,$D$11:$D$20,$B48),"")</f>
        <v/>
      </c>
      <c r="H48" s="17" t="str">
        <f>IFERROR(AVERAGEIFS($F$11:$F$20,$C$11:$C$20,G$37,$D$11:$D$20,$B48),"")</f>
        <v/>
      </c>
      <c r="I48" s="18">
        <f>IFERROR(AVERAGEIFS($E$11:$E$20,$C$11:$C$20,I$37,$D$11:$D$20,$B48),"")</f>
        <v>2</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f>IFERROR(AVERAGEIFS($E$11:$E$20,$C$11:$C$20,C$37,$D$11:$D$20,$B49),"")</f>
        <v>4</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f>IFERROR(AVERAGEIFS($E$11:$E$20,$C$11:$C$20,I$37,$D$11:$D$20,$B49),"")</f>
        <v>4</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79" priority="2">
      <formula>COUNTIFS($C$11:$C$20,"A2")&gt;0</formula>
    </cfRule>
  </conditionalFormatting>
  <conditionalFormatting sqref="C25">
    <cfRule type="expression" dxfId="178" priority="3">
      <formula>COUNTIFS($C$11:$C$20,"A3")&gt;0</formula>
    </cfRule>
  </conditionalFormatting>
  <conditionalFormatting sqref="C26">
    <cfRule type="expression" dxfId="177" priority="4">
      <formula>COUNTIFS($C$11:$C$20,"A4")&gt;0</formula>
    </cfRule>
  </conditionalFormatting>
  <conditionalFormatting sqref="C27">
    <cfRule type="expression" dxfId="176" priority="5">
      <formula>COUNTIFS($C$11:$C$20,"A5")&gt;0</formula>
    </cfRule>
  </conditionalFormatting>
  <conditionalFormatting sqref="C28">
    <cfRule type="expression" dxfId="175" priority="6">
      <formula>COUNTIFS($C$11:$C$20,"A6")&gt;0</formula>
    </cfRule>
  </conditionalFormatting>
  <conditionalFormatting sqref="C23:H23">
    <cfRule type="expression" dxfId="174" priority="7">
      <formula>COUNTIFS($C$11:$C$20,"A1")&gt;0</formula>
    </cfRule>
  </conditionalFormatting>
  <conditionalFormatting sqref="I23">
    <cfRule type="expression" dxfId="173" priority="8">
      <formula>COUNTIFS($D$11:$D$20,"B1")&gt;0</formula>
    </cfRule>
  </conditionalFormatting>
  <conditionalFormatting sqref="I24">
    <cfRule type="expression" dxfId="172" priority="9">
      <formula>COUNTIFS($D$11:$D$20,"B2")&gt;0</formula>
    </cfRule>
  </conditionalFormatting>
  <conditionalFormatting sqref="I25">
    <cfRule type="expression" dxfId="171" priority="10">
      <formula>COUNTIFS($D$11:$D$20,"B3")&gt;0</formula>
    </cfRule>
  </conditionalFormatting>
  <conditionalFormatting sqref="I26">
    <cfRule type="expression" dxfId="170" priority="11">
      <formula>COUNTIFS($D$11:$D$20,"B4")&gt;0</formula>
    </cfRule>
  </conditionalFormatting>
  <conditionalFormatting sqref="I27">
    <cfRule type="expression" dxfId="169" priority="12">
      <formula>COUNTIFS($D$11:$D$20,"B5")&gt;0</formula>
    </cfRule>
  </conditionalFormatting>
  <conditionalFormatting sqref="I28">
    <cfRule type="expression" dxfId="168" priority="13">
      <formula>COUNTIFS($D$11:$D$20,"B6")&gt;0</formula>
    </cfRule>
  </conditionalFormatting>
  <conditionalFormatting sqref="I29">
    <cfRule type="expression" dxfId="167" priority="14">
      <formula>COUNTIFS($D$11:$D$20,"B7")&gt;0</formula>
    </cfRule>
  </conditionalFormatting>
  <conditionalFormatting sqref="I30">
    <cfRule type="expression" dxfId="166" priority="15">
      <formula>COUNTIFS($D$11:$D$20,"B8")&gt;0</formula>
    </cfRule>
  </conditionalFormatting>
  <conditionalFormatting sqref="I31">
    <cfRule type="expression" dxfId="165" priority="16">
      <formula>COUNTIFS($D$11:$D$20,"B9")&gt;0</formula>
    </cfRule>
  </conditionalFormatting>
  <conditionalFormatting sqref="I32">
    <cfRule type="expression" dxfId="164" priority="17">
      <formula>COUNTIFS($D$11:$D$20,"B10")&gt;0</formula>
    </cfRule>
  </conditionalFormatting>
  <conditionalFormatting sqref="I33">
    <cfRule type="expression" dxfId="163" priority="18">
      <formula>COUNTIFS($D$11:$D$20,"B11")&gt;0</formula>
    </cfRule>
  </conditionalFormatting>
  <conditionalFormatting sqref="I34">
    <cfRule type="expression" dxfId="162"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206</v>
      </c>
      <c r="D4" s="89"/>
      <c r="E4" s="89"/>
      <c r="F4" s="89"/>
      <c r="G4" s="89"/>
      <c r="H4" s="89"/>
      <c r="I4" s="89"/>
      <c r="J4" s="89"/>
      <c r="K4" s="89"/>
      <c r="L4" s="89"/>
      <c r="M4" s="89"/>
      <c r="N4" s="90"/>
    </row>
    <row r="5" spans="2:14" ht="15" customHeight="1">
      <c r="B5" s="38" t="s">
        <v>155</v>
      </c>
      <c r="C5" s="67" t="s">
        <v>72</v>
      </c>
      <c r="D5" s="82"/>
      <c r="E5" s="82"/>
      <c r="F5" s="82"/>
      <c r="G5" s="82"/>
      <c r="H5" s="82"/>
      <c r="I5" s="83"/>
      <c r="J5" s="74" t="s">
        <v>156</v>
      </c>
      <c r="K5" s="82"/>
      <c r="L5" s="80" t="s">
        <v>71</v>
      </c>
      <c r="M5" s="82"/>
      <c r="N5" s="83"/>
    </row>
    <row r="6" spans="2:14" ht="15" customHeight="1">
      <c r="B6" s="38" t="s">
        <v>157</v>
      </c>
      <c r="C6" s="67" t="s">
        <v>207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343</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168</v>
      </c>
      <c r="D11" s="42" t="s">
        <v>196</v>
      </c>
      <c r="E11" s="42">
        <v>4</v>
      </c>
      <c r="F11" s="42"/>
      <c r="G11" s="68" t="s">
        <v>344</v>
      </c>
      <c r="H11" s="91"/>
      <c r="I11" s="91"/>
      <c r="J11" s="91"/>
      <c r="K11" s="91"/>
      <c r="L11" s="91"/>
      <c r="M11" s="91"/>
      <c r="N11" s="92"/>
    </row>
    <row r="12" spans="2:14" ht="52.9" customHeight="1">
      <c r="B12" s="41"/>
      <c r="C12" s="42" t="s">
        <v>193</v>
      </c>
      <c r="D12" s="42" t="s">
        <v>195</v>
      </c>
      <c r="E12" s="42"/>
      <c r="F12" s="42">
        <v>3</v>
      </c>
      <c r="G12" s="68" t="s">
        <v>345</v>
      </c>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f>IFERROR(AVERAGEIFS($F$11:$F$20,$C$11:$C$20,K$37,$D$11:$D$20,$B40),"")</f>
        <v>3</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f>IFERROR(AVERAGEIFS($E$11:$E$20,$C$11:$C$20,G$37,$D$11:$D$20,$B41),"")</f>
        <v>4</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61" priority="2">
      <formula>COUNTIFS($C$11:$C$20,"A2")&gt;0</formula>
    </cfRule>
  </conditionalFormatting>
  <conditionalFormatting sqref="C25">
    <cfRule type="expression" dxfId="160" priority="3">
      <formula>COUNTIFS($C$11:$C$20,"A3")&gt;0</formula>
    </cfRule>
  </conditionalFormatting>
  <conditionalFormatting sqref="C26">
    <cfRule type="expression" dxfId="159" priority="4">
      <formula>COUNTIFS($C$11:$C$20,"A4")&gt;0</formula>
    </cfRule>
  </conditionalFormatting>
  <conditionalFormatting sqref="C27">
    <cfRule type="expression" dxfId="158" priority="5">
      <formula>COUNTIFS($C$11:$C$20,"A5")&gt;0</formula>
    </cfRule>
  </conditionalFormatting>
  <conditionalFormatting sqref="C28">
    <cfRule type="expression" dxfId="157" priority="6">
      <formula>COUNTIFS($C$11:$C$20,"A6")&gt;0</formula>
    </cfRule>
  </conditionalFormatting>
  <conditionalFormatting sqref="C23:H23">
    <cfRule type="expression" dxfId="156" priority="7">
      <formula>COUNTIFS($C$11:$C$20,"A1")&gt;0</formula>
    </cfRule>
  </conditionalFormatting>
  <conditionalFormatting sqref="I23">
    <cfRule type="expression" dxfId="155" priority="8">
      <formula>COUNTIFS($D$11:$D$20,"B1")&gt;0</formula>
    </cfRule>
  </conditionalFormatting>
  <conditionalFormatting sqref="I24">
    <cfRule type="expression" dxfId="154" priority="9">
      <formula>COUNTIFS($D$11:$D$20,"B2")&gt;0</formula>
    </cfRule>
  </conditionalFormatting>
  <conditionalFormatting sqref="I25">
    <cfRule type="expression" dxfId="153" priority="10">
      <formula>COUNTIFS($D$11:$D$20,"B3")&gt;0</formula>
    </cfRule>
  </conditionalFormatting>
  <conditionalFormatting sqref="I26">
    <cfRule type="expression" dxfId="152" priority="11">
      <formula>COUNTIFS($D$11:$D$20,"B4")&gt;0</formula>
    </cfRule>
  </conditionalFormatting>
  <conditionalFormatting sqref="I27">
    <cfRule type="expression" dxfId="151" priority="12">
      <formula>COUNTIFS($D$11:$D$20,"B5")&gt;0</formula>
    </cfRule>
  </conditionalFormatting>
  <conditionalFormatting sqref="I28">
    <cfRule type="expression" dxfId="150" priority="13">
      <formula>COUNTIFS($D$11:$D$20,"B6")&gt;0</formula>
    </cfRule>
  </conditionalFormatting>
  <conditionalFormatting sqref="I29">
    <cfRule type="expression" dxfId="149" priority="14">
      <formula>COUNTIFS($D$11:$D$20,"B7")&gt;0</formula>
    </cfRule>
  </conditionalFormatting>
  <conditionalFormatting sqref="I30">
    <cfRule type="expression" dxfId="148" priority="15">
      <formula>COUNTIFS($D$11:$D$20,"B8")&gt;0</formula>
    </cfRule>
  </conditionalFormatting>
  <conditionalFormatting sqref="I31">
    <cfRule type="expression" dxfId="147" priority="16">
      <formula>COUNTIFS($D$11:$D$20,"B9")&gt;0</formula>
    </cfRule>
  </conditionalFormatting>
  <conditionalFormatting sqref="I32">
    <cfRule type="expression" dxfId="146" priority="17">
      <formula>COUNTIFS($D$11:$D$20,"B10")&gt;0</formula>
    </cfRule>
  </conditionalFormatting>
  <conditionalFormatting sqref="I33">
    <cfRule type="expression" dxfId="145" priority="18">
      <formula>COUNTIFS($D$11:$D$20,"B11")&gt;0</formula>
    </cfRule>
  </conditionalFormatting>
  <conditionalFormatting sqref="I34">
    <cfRule type="expression" dxfId="144"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217</v>
      </c>
      <c r="D4" s="89"/>
      <c r="E4" s="89"/>
      <c r="F4" s="89"/>
      <c r="G4" s="89"/>
      <c r="H4" s="89"/>
      <c r="I4" s="89"/>
      <c r="J4" s="89"/>
      <c r="K4" s="89"/>
      <c r="L4" s="89"/>
      <c r="M4" s="89"/>
      <c r="N4" s="90"/>
    </row>
    <row r="5" spans="2:14" ht="15" customHeight="1">
      <c r="B5" s="38" t="s">
        <v>155</v>
      </c>
      <c r="C5" s="67" t="s">
        <v>74</v>
      </c>
      <c r="D5" s="82"/>
      <c r="E5" s="82"/>
      <c r="F5" s="82"/>
      <c r="G5" s="82"/>
      <c r="H5" s="82"/>
      <c r="I5" s="83"/>
      <c r="J5" s="74" t="s">
        <v>156</v>
      </c>
      <c r="K5" s="82"/>
      <c r="L5" s="80" t="s">
        <v>73</v>
      </c>
      <c r="M5" s="82"/>
      <c r="N5" s="83"/>
    </row>
    <row r="6" spans="2:14" ht="15" customHeight="1">
      <c r="B6" s="38" t="s">
        <v>157</v>
      </c>
      <c r="C6" s="67" t="s">
        <v>218</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346</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167</v>
      </c>
      <c r="E11" s="42">
        <v>3</v>
      </c>
      <c r="F11" s="42"/>
      <c r="G11" s="68" t="s">
        <v>237</v>
      </c>
      <c r="H11" s="91"/>
      <c r="I11" s="91"/>
      <c r="J11" s="91"/>
      <c r="K11" s="91"/>
      <c r="L11" s="91"/>
      <c r="M11" s="91"/>
      <c r="N11" s="92"/>
    </row>
    <row r="12" spans="2:14" ht="15" customHeight="1">
      <c r="B12" s="41"/>
      <c r="C12" s="42"/>
      <c r="D12" s="42"/>
      <c r="E12" s="42"/>
      <c r="F12" s="42"/>
      <c r="G12" s="68"/>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3</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43" priority="2">
      <formula>COUNTIFS($C$11:$C$20,"A2")&gt;0</formula>
    </cfRule>
  </conditionalFormatting>
  <conditionalFormatting sqref="C25">
    <cfRule type="expression" dxfId="142" priority="3">
      <formula>COUNTIFS($C$11:$C$20,"A3")&gt;0</formula>
    </cfRule>
  </conditionalFormatting>
  <conditionalFormatting sqref="C26">
    <cfRule type="expression" dxfId="141" priority="4">
      <formula>COUNTIFS($C$11:$C$20,"A4")&gt;0</formula>
    </cfRule>
  </conditionalFormatting>
  <conditionalFormatting sqref="C27">
    <cfRule type="expression" dxfId="140" priority="5">
      <formula>COUNTIFS($C$11:$C$20,"A5")&gt;0</formula>
    </cfRule>
  </conditionalFormatting>
  <conditionalFormatting sqref="C28">
    <cfRule type="expression" dxfId="139" priority="6">
      <formula>COUNTIFS($C$11:$C$20,"A6")&gt;0</formula>
    </cfRule>
  </conditionalFormatting>
  <conditionalFormatting sqref="C23:H23">
    <cfRule type="expression" dxfId="138" priority="7">
      <formula>COUNTIFS($C$11:$C$20,"A1")&gt;0</formula>
    </cfRule>
  </conditionalFormatting>
  <conditionalFormatting sqref="I23">
    <cfRule type="expression" dxfId="137" priority="8">
      <formula>COUNTIFS($D$11:$D$20,"B1")&gt;0</formula>
    </cfRule>
  </conditionalFormatting>
  <conditionalFormatting sqref="I24">
    <cfRule type="expression" dxfId="136" priority="9">
      <formula>COUNTIFS($D$11:$D$20,"B2")&gt;0</formula>
    </cfRule>
  </conditionalFormatting>
  <conditionalFormatting sqref="I25">
    <cfRule type="expression" dxfId="135" priority="10">
      <formula>COUNTIFS($D$11:$D$20,"B3")&gt;0</formula>
    </cfRule>
  </conditionalFormatting>
  <conditionalFormatting sqref="I26">
    <cfRule type="expression" dxfId="134" priority="11">
      <formula>COUNTIFS($D$11:$D$20,"B4")&gt;0</formula>
    </cfRule>
  </conditionalFormatting>
  <conditionalFormatting sqref="I27">
    <cfRule type="expression" dxfId="133" priority="12">
      <formula>COUNTIFS($D$11:$D$20,"B5")&gt;0</formula>
    </cfRule>
  </conditionalFormatting>
  <conditionalFormatting sqref="I28">
    <cfRule type="expression" dxfId="132" priority="13">
      <formula>COUNTIFS($D$11:$D$20,"B6")&gt;0</formula>
    </cfRule>
  </conditionalFormatting>
  <conditionalFormatting sqref="I29">
    <cfRule type="expression" dxfId="131" priority="14">
      <formula>COUNTIFS($D$11:$D$20,"B7")&gt;0</formula>
    </cfRule>
  </conditionalFormatting>
  <conditionalFormatting sqref="I30">
    <cfRule type="expression" dxfId="130" priority="15">
      <formula>COUNTIFS($D$11:$D$20,"B8")&gt;0</formula>
    </cfRule>
  </conditionalFormatting>
  <conditionalFormatting sqref="I31">
    <cfRule type="expression" dxfId="129" priority="16">
      <formula>COUNTIFS($D$11:$D$20,"B9")&gt;0</formula>
    </cfRule>
  </conditionalFormatting>
  <conditionalFormatting sqref="I32">
    <cfRule type="expression" dxfId="128" priority="17">
      <formula>COUNTIFS($D$11:$D$20,"B10")&gt;0</formula>
    </cfRule>
  </conditionalFormatting>
  <conditionalFormatting sqref="I33">
    <cfRule type="expression" dxfId="127" priority="18">
      <formula>COUNTIFS($D$11:$D$20,"B11")&gt;0</formula>
    </cfRule>
  </conditionalFormatting>
  <conditionalFormatting sqref="I34">
    <cfRule type="expression" dxfId="12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256</v>
      </c>
      <c r="D4" s="89"/>
      <c r="E4" s="89"/>
      <c r="F4" s="89"/>
      <c r="G4" s="89"/>
      <c r="H4" s="89"/>
      <c r="I4" s="89"/>
      <c r="J4" s="89"/>
      <c r="K4" s="89"/>
      <c r="L4" s="89"/>
      <c r="M4" s="89"/>
      <c r="N4" s="90"/>
    </row>
    <row r="5" spans="2:14" ht="15" customHeight="1">
      <c r="B5" s="38" t="s">
        <v>155</v>
      </c>
      <c r="C5" s="67" t="s">
        <v>76</v>
      </c>
      <c r="D5" s="82"/>
      <c r="E5" s="82"/>
      <c r="F5" s="82"/>
      <c r="G5" s="82"/>
      <c r="H5" s="82"/>
      <c r="I5" s="83"/>
      <c r="J5" s="74" t="s">
        <v>156</v>
      </c>
      <c r="K5" s="82"/>
      <c r="L5" s="80" t="s">
        <v>75</v>
      </c>
      <c r="M5" s="82"/>
      <c r="N5" s="83"/>
    </row>
    <row r="6" spans="2:14" ht="15" customHeight="1">
      <c r="B6" s="38" t="s">
        <v>157</v>
      </c>
      <c r="C6" s="67" t="s">
        <v>257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347</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166</v>
      </c>
      <c r="D11" s="42" t="s">
        <v>196</v>
      </c>
      <c r="E11" s="42">
        <v>5</v>
      </c>
      <c r="F11" s="42"/>
      <c r="G11" s="68" t="s">
        <v>348</v>
      </c>
      <c r="H11" s="91"/>
      <c r="I11" s="91"/>
      <c r="J11" s="91"/>
      <c r="K11" s="91"/>
      <c r="L11" s="91"/>
      <c r="M11" s="91"/>
      <c r="N11" s="92"/>
    </row>
    <row r="12" spans="2:14" ht="52.9" customHeight="1">
      <c r="B12" s="41"/>
      <c r="C12" s="42" t="s">
        <v>168</v>
      </c>
      <c r="D12" s="42" t="s">
        <v>196</v>
      </c>
      <c r="E12" s="42">
        <v>4</v>
      </c>
      <c r="F12" s="42"/>
      <c r="G12" s="68" t="s">
        <v>349</v>
      </c>
      <c r="H12" s="91"/>
      <c r="I12" s="91"/>
      <c r="J12" s="91"/>
      <c r="K12" s="91"/>
      <c r="L12" s="91"/>
      <c r="M12" s="91"/>
      <c r="N12" s="92"/>
    </row>
    <row r="13" spans="2:14" ht="84.75" customHeight="1">
      <c r="B13" s="41"/>
      <c r="C13" s="42" t="s">
        <v>166</v>
      </c>
      <c r="D13" s="42" t="s">
        <v>202</v>
      </c>
      <c r="E13" s="42">
        <v>3</v>
      </c>
      <c r="F13" s="42"/>
      <c r="G13" s="68" t="s">
        <v>350</v>
      </c>
      <c r="H13" s="91"/>
      <c r="I13" s="91"/>
      <c r="J13" s="91"/>
      <c r="K13" s="91"/>
      <c r="L13" s="91"/>
      <c r="M13" s="91"/>
      <c r="N13" s="92"/>
    </row>
    <row r="14" spans="2:14" ht="52.9" customHeight="1">
      <c r="B14" s="41"/>
      <c r="C14" s="42" t="s">
        <v>168</v>
      </c>
      <c r="D14" s="42" t="s">
        <v>201</v>
      </c>
      <c r="E14" s="42"/>
      <c r="F14" s="42">
        <v>3</v>
      </c>
      <c r="G14" s="68" t="s">
        <v>351</v>
      </c>
      <c r="H14" s="91"/>
      <c r="I14" s="91"/>
      <c r="J14" s="91"/>
      <c r="K14" s="91"/>
      <c r="L14" s="91"/>
      <c r="M14" s="91"/>
      <c r="N14" s="92"/>
    </row>
    <row r="15" spans="2:14" ht="68.849999999999994" customHeight="1">
      <c r="B15" s="41"/>
      <c r="C15" s="42" t="s">
        <v>171</v>
      </c>
      <c r="D15" s="42" t="s">
        <v>196</v>
      </c>
      <c r="E15" s="42"/>
      <c r="F15" s="42">
        <v>3</v>
      </c>
      <c r="G15" s="68" t="s">
        <v>352</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f>IFERROR(AVERAGEIFS($F$11:$F$20,$C$11:$C$20,C$37,$D$11:$D$20,$B41),"")</f>
        <v>3</v>
      </c>
      <c r="E41" s="18">
        <f>IFERROR(AVERAGEIFS($E$11:$E$20,$C$11:$C$20,E$37,$D$11:$D$20,$B41),"")</f>
        <v>5</v>
      </c>
      <c r="F41" s="18" t="str">
        <f>IFERROR(AVERAGEIFS($F$11:$F$20,$C$11:$C$20,E$37,$D$11:$D$20,$B41),"")</f>
        <v/>
      </c>
      <c r="G41" s="17">
        <f>IFERROR(AVERAGEIFS($E$11:$E$20,$C$11:$C$20,G$37,$D$11:$D$20,$B41),"")</f>
        <v>4</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f>IFERROR(AVERAGEIFS($F$11:$F$20,$C$11:$C$20,G$37,$D$11:$D$20,$B47),"")</f>
        <v>3</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3</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25" priority="2">
      <formula>COUNTIFS($C$11:$C$20,"A2")&gt;0</formula>
    </cfRule>
  </conditionalFormatting>
  <conditionalFormatting sqref="C25">
    <cfRule type="expression" dxfId="124" priority="3">
      <formula>COUNTIFS($C$11:$C$20,"A3")&gt;0</formula>
    </cfRule>
  </conditionalFormatting>
  <conditionalFormatting sqref="C26">
    <cfRule type="expression" dxfId="123" priority="4">
      <formula>COUNTIFS($C$11:$C$20,"A4")&gt;0</formula>
    </cfRule>
  </conditionalFormatting>
  <conditionalFormatting sqref="C27">
    <cfRule type="expression" dxfId="122" priority="5">
      <formula>COUNTIFS($C$11:$C$20,"A5")&gt;0</formula>
    </cfRule>
  </conditionalFormatting>
  <conditionalFormatting sqref="C28">
    <cfRule type="expression" dxfId="121" priority="6">
      <formula>COUNTIFS($C$11:$C$20,"A6")&gt;0</formula>
    </cfRule>
  </conditionalFormatting>
  <conditionalFormatting sqref="C23:H23">
    <cfRule type="expression" dxfId="120" priority="7">
      <formula>COUNTIFS($C$11:$C$20,"A1")&gt;0</formula>
    </cfRule>
  </conditionalFormatting>
  <conditionalFormatting sqref="I23">
    <cfRule type="expression" dxfId="119" priority="8">
      <formula>COUNTIFS($D$11:$D$20,"B1")&gt;0</formula>
    </cfRule>
  </conditionalFormatting>
  <conditionalFormatting sqref="I24">
    <cfRule type="expression" dxfId="118" priority="9">
      <formula>COUNTIFS($D$11:$D$20,"B2")&gt;0</formula>
    </cfRule>
  </conditionalFormatting>
  <conditionalFormatting sqref="I25">
    <cfRule type="expression" dxfId="117" priority="10">
      <formula>COUNTIFS($D$11:$D$20,"B3")&gt;0</formula>
    </cfRule>
  </conditionalFormatting>
  <conditionalFormatting sqref="I26">
    <cfRule type="expression" dxfId="116" priority="11">
      <formula>COUNTIFS($D$11:$D$20,"B4")&gt;0</formula>
    </cfRule>
  </conditionalFormatting>
  <conditionalFormatting sqref="I27">
    <cfRule type="expression" dxfId="115" priority="12">
      <formula>COUNTIFS($D$11:$D$20,"B5")&gt;0</formula>
    </cfRule>
  </conditionalFormatting>
  <conditionalFormatting sqref="I28">
    <cfRule type="expression" dxfId="114" priority="13">
      <formula>COUNTIFS($D$11:$D$20,"B6")&gt;0</formula>
    </cfRule>
  </conditionalFormatting>
  <conditionalFormatting sqref="I29">
    <cfRule type="expression" dxfId="113" priority="14">
      <formula>COUNTIFS($D$11:$D$20,"B7")&gt;0</formula>
    </cfRule>
  </conditionalFormatting>
  <conditionalFormatting sqref="I30">
    <cfRule type="expression" dxfId="112" priority="15">
      <formula>COUNTIFS($D$11:$D$20,"B8")&gt;0</formula>
    </cfRule>
  </conditionalFormatting>
  <conditionalFormatting sqref="I31">
    <cfRule type="expression" dxfId="111" priority="16">
      <formula>COUNTIFS($D$11:$D$20,"B9")&gt;0</formula>
    </cfRule>
  </conditionalFormatting>
  <conditionalFormatting sqref="I32">
    <cfRule type="expression" dxfId="110" priority="17">
      <formula>COUNTIFS($D$11:$D$20,"B10")&gt;0</formula>
    </cfRule>
  </conditionalFormatting>
  <conditionalFormatting sqref="I33">
    <cfRule type="expression" dxfId="109" priority="18">
      <formula>COUNTIFS($D$11:$D$20,"B11")&gt;0</formula>
    </cfRule>
  </conditionalFormatting>
  <conditionalFormatting sqref="I34">
    <cfRule type="expression" dxfId="10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78</v>
      </c>
      <c r="D5" s="82"/>
      <c r="E5" s="82"/>
      <c r="F5" s="82"/>
      <c r="G5" s="82"/>
      <c r="H5" s="82"/>
      <c r="I5" s="83"/>
      <c r="J5" s="74" t="s">
        <v>156</v>
      </c>
      <c r="K5" s="82"/>
      <c r="L5" s="80" t="s">
        <v>77</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353</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196</v>
      </c>
      <c r="E11" s="42">
        <v>5</v>
      </c>
      <c r="F11" s="42"/>
      <c r="G11" s="68" t="s">
        <v>354</v>
      </c>
      <c r="H11" s="91"/>
      <c r="I11" s="91"/>
      <c r="J11" s="91"/>
      <c r="K11" s="91"/>
      <c r="L11" s="91"/>
      <c r="M11" s="91"/>
      <c r="N11" s="92"/>
    </row>
    <row r="12" spans="2:14" ht="15" customHeight="1">
      <c r="B12" s="41"/>
      <c r="C12" s="42"/>
      <c r="D12" s="42"/>
      <c r="E12" s="42"/>
      <c r="F12" s="42"/>
      <c r="G12" s="68"/>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f>IFERROR(AVERAGEIFS($E$11:$E$20,$C$11:$C$20,I$37,$D$11:$D$20,$B41),"")</f>
        <v>5</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07" priority="2">
      <formula>COUNTIFS($C$11:$C$20,"A2")&gt;0</formula>
    </cfRule>
  </conditionalFormatting>
  <conditionalFormatting sqref="C25">
    <cfRule type="expression" dxfId="106" priority="3">
      <formula>COUNTIFS($C$11:$C$20,"A3")&gt;0</formula>
    </cfRule>
  </conditionalFormatting>
  <conditionalFormatting sqref="C26">
    <cfRule type="expression" dxfId="105" priority="4">
      <formula>COUNTIFS($C$11:$C$20,"A4")&gt;0</formula>
    </cfRule>
  </conditionalFormatting>
  <conditionalFormatting sqref="C27">
    <cfRule type="expression" dxfId="104" priority="5">
      <formula>COUNTIFS($C$11:$C$20,"A5")&gt;0</formula>
    </cfRule>
  </conditionalFormatting>
  <conditionalFormatting sqref="C28">
    <cfRule type="expression" dxfId="103" priority="6">
      <formula>COUNTIFS($C$11:$C$20,"A6")&gt;0</formula>
    </cfRule>
  </conditionalFormatting>
  <conditionalFormatting sqref="C23:H23">
    <cfRule type="expression" dxfId="102" priority="7">
      <formula>COUNTIFS($C$11:$C$20,"A1")&gt;0</formula>
    </cfRule>
  </conditionalFormatting>
  <conditionalFormatting sqref="I23">
    <cfRule type="expression" dxfId="101" priority="8">
      <formula>COUNTIFS($D$11:$D$20,"B1")&gt;0</formula>
    </cfRule>
  </conditionalFormatting>
  <conditionalFormatting sqref="I24">
    <cfRule type="expression" dxfId="100" priority="9">
      <formula>COUNTIFS($D$11:$D$20,"B2")&gt;0</formula>
    </cfRule>
  </conditionalFormatting>
  <conditionalFormatting sqref="I25">
    <cfRule type="expression" dxfId="99" priority="10">
      <formula>COUNTIFS($D$11:$D$20,"B3")&gt;0</formula>
    </cfRule>
  </conditionalFormatting>
  <conditionalFormatting sqref="I26">
    <cfRule type="expression" dxfId="98" priority="11">
      <formula>COUNTIFS($D$11:$D$20,"B4")&gt;0</formula>
    </cfRule>
  </conditionalFormatting>
  <conditionalFormatting sqref="I27">
    <cfRule type="expression" dxfId="97" priority="12">
      <formula>COUNTIFS($D$11:$D$20,"B5")&gt;0</formula>
    </cfRule>
  </conditionalFormatting>
  <conditionalFormatting sqref="I28">
    <cfRule type="expression" dxfId="96" priority="13">
      <formula>COUNTIFS($D$11:$D$20,"B6")&gt;0</formula>
    </cfRule>
  </conditionalFormatting>
  <conditionalFormatting sqref="I29">
    <cfRule type="expression" dxfId="95" priority="14">
      <formula>COUNTIFS($D$11:$D$20,"B7")&gt;0</formula>
    </cfRule>
  </conditionalFormatting>
  <conditionalFormatting sqref="I30">
    <cfRule type="expression" dxfId="94" priority="15">
      <formula>COUNTIFS($D$11:$D$20,"B8")&gt;0</formula>
    </cfRule>
  </conditionalFormatting>
  <conditionalFormatting sqref="I31">
    <cfRule type="expression" dxfId="93" priority="16">
      <formula>COUNTIFS($D$11:$D$20,"B9")&gt;0</formula>
    </cfRule>
  </conditionalFormatting>
  <conditionalFormatting sqref="I32">
    <cfRule type="expression" dxfId="92" priority="17">
      <formula>COUNTIFS($D$11:$D$20,"B10")&gt;0</formula>
    </cfRule>
  </conditionalFormatting>
  <conditionalFormatting sqref="I33">
    <cfRule type="expression" dxfId="91" priority="18">
      <formula>COUNTIFS($D$11:$D$20,"B11")&gt;0</formula>
    </cfRule>
  </conditionalFormatting>
  <conditionalFormatting sqref="I34">
    <cfRule type="expression" dxfId="9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80</v>
      </c>
      <c r="D5" s="82"/>
      <c r="E5" s="82"/>
      <c r="F5" s="82"/>
      <c r="G5" s="82"/>
      <c r="H5" s="82"/>
      <c r="I5" s="83"/>
      <c r="J5" s="74" t="s">
        <v>156</v>
      </c>
      <c r="K5" s="82"/>
      <c r="L5" s="80" t="s">
        <v>79</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355</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36.75" customHeight="1">
      <c r="B11" s="41"/>
      <c r="C11" s="42" t="s">
        <v>169</v>
      </c>
      <c r="D11" s="42" t="s">
        <v>167</v>
      </c>
      <c r="E11" s="42">
        <v>5</v>
      </c>
      <c r="F11" s="42"/>
      <c r="G11" s="68" t="s">
        <v>356</v>
      </c>
      <c r="H11" s="91"/>
      <c r="I11" s="91"/>
      <c r="J11" s="91"/>
      <c r="K11" s="91"/>
      <c r="L11" s="91"/>
      <c r="M11" s="91"/>
      <c r="N11" s="92"/>
    </row>
    <row r="12" spans="2:14" ht="52.9" customHeight="1">
      <c r="B12" s="41"/>
      <c r="C12" s="42" t="s">
        <v>166</v>
      </c>
      <c r="D12" s="42" t="s">
        <v>202</v>
      </c>
      <c r="E12" s="42">
        <v>4</v>
      </c>
      <c r="F12" s="42"/>
      <c r="G12" s="68" t="s">
        <v>357</v>
      </c>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5</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f>IFERROR(AVERAGEIFS($E$11:$E$20,$C$11:$C$20,E$37,$D$11:$D$20,$B48),"")</f>
        <v>4</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89" priority="2">
      <formula>COUNTIFS($C$11:$C$20,"A2")&gt;0</formula>
    </cfRule>
  </conditionalFormatting>
  <conditionalFormatting sqref="C25">
    <cfRule type="expression" dxfId="88" priority="3">
      <formula>COUNTIFS($C$11:$C$20,"A3")&gt;0</formula>
    </cfRule>
  </conditionalFormatting>
  <conditionalFormatting sqref="C26">
    <cfRule type="expression" dxfId="87" priority="4">
      <formula>COUNTIFS($C$11:$C$20,"A4")&gt;0</formula>
    </cfRule>
  </conditionalFormatting>
  <conditionalFormatting sqref="C27">
    <cfRule type="expression" dxfId="86" priority="5">
      <formula>COUNTIFS($C$11:$C$20,"A5")&gt;0</formula>
    </cfRule>
  </conditionalFormatting>
  <conditionalFormatting sqref="C28">
    <cfRule type="expression" dxfId="85" priority="6">
      <formula>COUNTIFS($C$11:$C$20,"A6")&gt;0</formula>
    </cfRule>
  </conditionalFormatting>
  <conditionalFormatting sqref="C23:H23">
    <cfRule type="expression" dxfId="84" priority="7">
      <formula>COUNTIFS($C$11:$C$20,"A1")&gt;0</formula>
    </cfRule>
  </conditionalFormatting>
  <conditionalFormatting sqref="I23">
    <cfRule type="expression" dxfId="83" priority="8">
      <formula>COUNTIFS($D$11:$D$20,"B1")&gt;0</formula>
    </cfRule>
  </conditionalFormatting>
  <conditionalFormatting sqref="I24">
    <cfRule type="expression" dxfId="82" priority="9">
      <formula>COUNTIFS($D$11:$D$20,"B2")&gt;0</formula>
    </cfRule>
  </conditionalFormatting>
  <conditionalFormatting sqref="I25">
    <cfRule type="expression" dxfId="81" priority="10">
      <formula>COUNTIFS($D$11:$D$20,"B3")&gt;0</formula>
    </cfRule>
  </conditionalFormatting>
  <conditionalFormatting sqref="I26">
    <cfRule type="expression" dxfId="80" priority="11">
      <formula>COUNTIFS($D$11:$D$20,"B4")&gt;0</formula>
    </cfRule>
  </conditionalFormatting>
  <conditionalFormatting sqref="I27">
    <cfRule type="expression" dxfId="79" priority="12">
      <formula>COUNTIFS($D$11:$D$20,"B5")&gt;0</formula>
    </cfRule>
  </conditionalFormatting>
  <conditionalFormatting sqref="I28">
    <cfRule type="expression" dxfId="78" priority="13">
      <formula>COUNTIFS($D$11:$D$20,"B6")&gt;0</formula>
    </cfRule>
  </conditionalFormatting>
  <conditionalFormatting sqref="I29">
    <cfRule type="expression" dxfId="77" priority="14">
      <formula>COUNTIFS($D$11:$D$20,"B7")&gt;0</formula>
    </cfRule>
  </conditionalFormatting>
  <conditionalFormatting sqref="I30">
    <cfRule type="expression" dxfId="76" priority="15">
      <formula>COUNTIFS($D$11:$D$20,"B8")&gt;0</formula>
    </cfRule>
  </conditionalFormatting>
  <conditionalFormatting sqref="I31">
    <cfRule type="expression" dxfId="75" priority="16">
      <formula>COUNTIFS($D$11:$D$20,"B9")&gt;0</formula>
    </cfRule>
  </conditionalFormatting>
  <conditionalFormatting sqref="I32">
    <cfRule type="expression" dxfId="74" priority="17">
      <formula>COUNTIFS($D$11:$D$20,"B10")&gt;0</formula>
    </cfRule>
  </conditionalFormatting>
  <conditionalFormatting sqref="I33">
    <cfRule type="expression" dxfId="73" priority="18">
      <formula>COUNTIFS($D$11:$D$20,"B11")&gt;0</formula>
    </cfRule>
  </conditionalFormatting>
  <conditionalFormatting sqref="I34">
    <cfRule type="expression" dxfId="72"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358</v>
      </c>
      <c r="D4" s="89"/>
      <c r="E4" s="89"/>
      <c r="F4" s="89"/>
      <c r="G4" s="89"/>
      <c r="H4" s="89"/>
      <c r="I4" s="89"/>
      <c r="J4" s="89"/>
      <c r="K4" s="89"/>
      <c r="L4" s="89"/>
      <c r="M4" s="89"/>
      <c r="N4" s="90"/>
    </row>
    <row r="5" spans="2:14" ht="15" customHeight="1">
      <c r="B5" s="38" t="s">
        <v>155</v>
      </c>
      <c r="C5" s="67" t="s">
        <v>82</v>
      </c>
      <c r="D5" s="82"/>
      <c r="E5" s="82"/>
      <c r="F5" s="82"/>
      <c r="G5" s="82"/>
      <c r="H5" s="82"/>
      <c r="I5" s="83"/>
      <c r="J5" s="74" t="s">
        <v>156</v>
      </c>
      <c r="K5" s="82"/>
      <c r="L5" s="80" t="s">
        <v>81</v>
      </c>
      <c r="M5" s="82"/>
      <c r="N5" s="83"/>
    </row>
    <row r="6" spans="2:14" ht="15" customHeight="1">
      <c r="B6" s="38" t="s">
        <v>157</v>
      </c>
      <c r="C6" s="67" t="s">
        <v>359</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360</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68.849999999999994" customHeight="1">
      <c r="B11" s="41"/>
      <c r="C11" s="42" t="s">
        <v>169</v>
      </c>
      <c r="D11" s="42" t="s">
        <v>196</v>
      </c>
      <c r="E11" s="42"/>
      <c r="F11" s="42">
        <v>4</v>
      </c>
      <c r="G11" s="68" t="s">
        <v>361</v>
      </c>
      <c r="H11" s="91"/>
      <c r="I11" s="91"/>
      <c r="J11" s="91"/>
      <c r="K11" s="91"/>
      <c r="L11" s="91"/>
      <c r="M11" s="91"/>
      <c r="N11" s="92"/>
    </row>
    <row r="12" spans="2:14" ht="68.849999999999994" customHeight="1">
      <c r="B12" s="41"/>
      <c r="C12" s="42" t="s">
        <v>168</v>
      </c>
      <c r="D12" s="42" t="s">
        <v>172</v>
      </c>
      <c r="E12" s="42">
        <v>3</v>
      </c>
      <c r="F12" s="42"/>
      <c r="G12" s="68" t="s">
        <v>362</v>
      </c>
      <c r="H12" s="91"/>
      <c r="I12" s="91"/>
      <c r="J12" s="91"/>
      <c r="K12" s="91"/>
      <c r="L12" s="91"/>
      <c r="M12" s="91"/>
      <c r="N12" s="92"/>
    </row>
    <row r="13" spans="2:14" ht="52.9" customHeight="1">
      <c r="B13" s="41"/>
      <c r="C13" s="42" t="s">
        <v>170</v>
      </c>
      <c r="D13" s="42" t="s">
        <v>197</v>
      </c>
      <c r="E13" s="42"/>
      <c r="F13" s="42">
        <v>3</v>
      </c>
      <c r="G13" s="68" t="s">
        <v>363</v>
      </c>
      <c r="H13" s="91"/>
      <c r="I13" s="91"/>
      <c r="J13" s="91"/>
      <c r="K13" s="91"/>
      <c r="L13" s="91"/>
      <c r="M13" s="91"/>
      <c r="N13" s="92"/>
    </row>
    <row r="14" spans="2:14" ht="68.849999999999994" customHeight="1">
      <c r="B14" s="41"/>
      <c r="C14" s="42" t="s">
        <v>171</v>
      </c>
      <c r="D14" s="42" t="s">
        <v>167</v>
      </c>
      <c r="E14" s="42">
        <v>2</v>
      </c>
      <c r="F14" s="42"/>
      <c r="G14" s="68" t="s">
        <v>364</v>
      </c>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f>IFERROR(AVERAGEIFS($F$11:$F$20,$C$11:$C$20,I$37,$D$11:$D$20,$B41),"")</f>
        <v>4</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f>IFERROR(AVERAGEIFS($F$11:$F$20,$C$11:$C$20,M$37,$D$11:$D$20,$B42),"")</f>
        <v>3</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f>IFERROR(AVERAGEIFS($E$11:$E$20,$C$11:$C$20,C$37,$D$11:$D$20,$B45),"")</f>
        <v>2</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f>IFERROR(AVERAGEIFS($E$11:$E$20,$C$11:$C$20,G$37,$D$11:$D$20,$B49),"")</f>
        <v>3</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71" priority="2">
      <formula>COUNTIFS($C$11:$C$20,"A2")&gt;0</formula>
    </cfRule>
  </conditionalFormatting>
  <conditionalFormatting sqref="C25">
    <cfRule type="expression" dxfId="70" priority="3">
      <formula>COUNTIFS($C$11:$C$20,"A3")&gt;0</formula>
    </cfRule>
  </conditionalFormatting>
  <conditionalFormatting sqref="C26">
    <cfRule type="expression" dxfId="69" priority="4">
      <formula>COUNTIFS($C$11:$C$20,"A4")&gt;0</formula>
    </cfRule>
  </conditionalFormatting>
  <conditionalFormatting sqref="C27">
    <cfRule type="expression" dxfId="68" priority="5">
      <formula>COUNTIFS($C$11:$C$20,"A5")&gt;0</formula>
    </cfRule>
  </conditionalFormatting>
  <conditionalFormatting sqref="C28">
    <cfRule type="expression" dxfId="67" priority="6">
      <formula>COUNTIFS($C$11:$C$20,"A6")&gt;0</formula>
    </cfRule>
  </conditionalFormatting>
  <conditionalFormatting sqref="C23:H23">
    <cfRule type="expression" dxfId="66" priority="7">
      <formula>COUNTIFS($C$11:$C$20,"A1")&gt;0</formula>
    </cfRule>
  </conditionalFormatting>
  <conditionalFormatting sqref="I23">
    <cfRule type="expression" dxfId="65" priority="8">
      <formula>COUNTIFS($D$11:$D$20,"B1")&gt;0</formula>
    </cfRule>
  </conditionalFormatting>
  <conditionalFormatting sqref="I24">
    <cfRule type="expression" dxfId="64" priority="9">
      <formula>COUNTIFS($D$11:$D$20,"B2")&gt;0</formula>
    </cfRule>
  </conditionalFormatting>
  <conditionalFormatting sqref="I25">
    <cfRule type="expression" dxfId="63" priority="10">
      <formula>COUNTIFS($D$11:$D$20,"B3")&gt;0</formula>
    </cfRule>
  </conditionalFormatting>
  <conditionalFormatting sqref="I26">
    <cfRule type="expression" dxfId="62" priority="11">
      <formula>COUNTIFS($D$11:$D$20,"B4")&gt;0</formula>
    </cfRule>
  </conditionalFormatting>
  <conditionalFormatting sqref="I27">
    <cfRule type="expression" dxfId="61" priority="12">
      <formula>COUNTIFS($D$11:$D$20,"B5")&gt;0</formula>
    </cfRule>
  </conditionalFormatting>
  <conditionalFormatting sqref="I28">
    <cfRule type="expression" dxfId="60" priority="13">
      <formula>COUNTIFS($D$11:$D$20,"B6")&gt;0</formula>
    </cfRule>
  </conditionalFormatting>
  <conditionalFormatting sqref="I29">
    <cfRule type="expression" dxfId="59" priority="14">
      <formula>COUNTIFS($D$11:$D$20,"B7")&gt;0</formula>
    </cfRule>
  </conditionalFormatting>
  <conditionalFormatting sqref="I30">
    <cfRule type="expression" dxfId="58" priority="15">
      <formula>COUNTIFS($D$11:$D$20,"B8")&gt;0</formula>
    </cfRule>
  </conditionalFormatting>
  <conditionalFormatting sqref="I31">
    <cfRule type="expression" dxfId="57" priority="16">
      <formula>COUNTIFS($D$11:$D$20,"B9")&gt;0</formula>
    </cfRule>
  </conditionalFormatting>
  <conditionalFormatting sqref="I32">
    <cfRule type="expression" dxfId="56" priority="17">
      <formula>COUNTIFS($D$11:$D$20,"B10")&gt;0</formula>
    </cfRule>
  </conditionalFormatting>
  <conditionalFormatting sqref="I33">
    <cfRule type="expression" dxfId="55" priority="18">
      <formula>COUNTIFS($D$11:$D$20,"B11")&gt;0</formula>
    </cfRule>
  </conditionalFormatting>
  <conditionalFormatting sqref="I34">
    <cfRule type="expression" dxfId="54"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256</v>
      </c>
      <c r="D4" s="89"/>
      <c r="E4" s="89"/>
      <c r="F4" s="89"/>
      <c r="G4" s="89"/>
      <c r="H4" s="89"/>
      <c r="I4" s="89"/>
      <c r="J4" s="89"/>
      <c r="K4" s="89"/>
      <c r="L4" s="89"/>
      <c r="M4" s="89"/>
      <c r="N4" s="90"/>
    </row>
    <row r="5" spans="2:14" ht="15" customHeight="1">
      <c r="B5" s="38" t="s">
        <v>155</v>
      </c>
      <c r="C5" s="67" t="s">
        <v>84</v>
      </c>
      <c r="D5" s="82"/>
      <c r="E5" s="82"/>
      <c r="F5" s="82"/>
      <c r="G5" s="82"/>
      <c r="H5" s="82"/>
      <c r="I5" s="83"/>
      <c r="J5" s="74" t="s">
        <v>156</v>
      </c>
      <c r="K5" s="82"/>
      <c r="L5" s="80" t="s">
        <v>83</v>
      </c>
      <c r="M5" s="82"/>
      <c r="N5" s="83"/>
    </row>
    <row r="6" spans="2:14" ht="15" customHeight="1">
      <c r="B6" s="38" t="s">
        <v>157</v>
      </c>
      <c r="C6" s="67" t="s">
        <v>257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365</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100.9" customHeight="1">
      <c r="B11" s="41"/>
      <c r="C11" s="42" t="s">
        <v>166</v>
      </c>
      <c r="D11" s="42" t="s">
        <v>196</v>
      </c>
      <c r="E11" s="42">
        <v>5</v>
      </c>
      <c r="F11" s="42"/>
      <c r="G11" s="68" t="s">
        <v>366</v>
      </c>
      <c r="H11" s="91"/>
      <c r="I11" s="91"/>
      <c r="J11" s="91"/>
      <c r="K11" s="91"/>
      <c r="L11" s="91"/>
      <c r="M11" s="91"/>
      <c r="N11" s="92"/>
    </row>
    <row r="12" spans="2:14" ht="84.75" customHeight="1">
      <c r="B12" s="41"/>
      <c r="C12" s="42" t="s">
        <v>168</v>
      </c>
      <c r="D12" s="42" t="s">
        <v>194</v>
      </c>
      <c r="E12" s="42"/>
      <c r="F12" s="42">
        <v>4</v>
      </c>
      <c r="G12" s="68" t="s">
        <v>367</v>
      </c>
      <c r="H12" s="91"/>
      <c r="I12" s="91"/>
      <c r="J12" s="91"/>
      <c r="K12" s="91"/>
      <c r="L12" s="91"/>
      <c r="M12" s="91"/>
      <c r="N12" s="92"/>
    </row>
    <row r="13" spans="2:14" ht="100.9" customHeight="1">
      <c r="B13" s="41"/>
      <c r="C13" s="42" t="s">
        <v>169</v>
      </c>
      <c r="D13" s="42" t="s">
        <v>200</v>
      </c>
      <c r="E13" s="42">
        <v>4</v>
      </c>
      <c r="F13" s="42"/>
      <c r="G13" s="68" t="s">
        <v>368</v>
      </c>
      <c r="H13" s="91"/>
      <c r="I13" s="91"/>
      <c r="J13" s="91"/>
      <c r="K13" s="91"/>
      <c r="L13" s="91"/>
      <c r="M13" s="91"/>
      <c r="N13" s="92"/>
    </row>
    <row r="14" spans="2:14" ht="68.849999999999994" customHeight="1">
      <c r="B14" s="41"/>
      <c r="C14" s="42" t="s">
        <v>171</v>
      </c>
      <c r="D14" s="42" t="s">
        <v>172</v>
      </c>
      <c r="E14" s="42"/>
      <c r="F14" s="42">
        <v>3</v>
      </c>
      <c r="G14" s="68" t="s">
        <v>369</v>
      </c>
      <c r="H14" s="91"/>
      <c r="I14" s="91"/>
      <c r="J14" s="91"/>
      <c r="K14" s="91"/>
      <c r="L14" s="91"/>
      <c r="M14" s="91"/>
      <c r="N14" s="92"/>
    </row>
    <row r="15" spans="2:14" ht="68.849999999999994" customHeight="1">
      <c r="B15" s="41"/>
      <c r="C15" s="42" t="s">
        <v>171</v>
      </c>
      <c r="D15" s="42" t="s">
        <v>197</v>
      </c>
      <c r="E15" s="42"/>
      <c r="F15" s="42">
        <v>2</v>
      </c>
      <c r="G15" s="68" t="s">
        <v>370</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f>IFERROR(AVERAGEIFS($F$11:$F$20,$C$11:$C$20,G$37,$D$11:$D$20,$B39),"")</f>
        <v>4</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f>IFERROR(AVERAGEIFS($E$11:$E$20,$C$11:$C$20,E$37,$D$11:$D$20,$B41),"")</f>
        <v>5</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f>IFERROR(AVERAGEIFS($F$11:$F$20,$C$11:$C$20,C$37,$D$11:$D$20,$B42),"")</f>
        <v>2</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4</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f>IFERROR(AVERAGEIFS($F$11:$F$20,$C$11:$C$20,C$37,$D$11:$D$20,$B49),"")</f>
        <v>3</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3" priority="2">
      <formula>COUNTIFS($C$11:$C$20,"A2")&gt;0</formula>
    </cfRule>
  </conditionalFormatting>
  <conditionalFormatting sqref="C25">
    <cfRule type="expression" dxfId="52" priority="3">
      <formula>COUNTIFS($C$11:$C$20,"A3")&gt;0</formula>
    </cfRule>
  </conditionalFormatting>
  <conditionalFormatting sqref="C26">
    <cfRule type="expression" dxfId="51" priority="4">
      <formula>COUNTIFS($C$11:$C$20,"A4")&gt;0</formula>
    </cfRule>
  </conditionalFormatting>
  <conditionalFormatting sqref="C27">
    <cfRule type="expression" dxfId="50" priority="5">
      <formula>COUNTIFS($C$11:$C$20,"A5")&gt;0</formula>
    </cfRule>
  </conditionalFormatting>
  <conditionalFormatting sqref="C28">
    <cfRule type="expression" dxfId="49" priority="6">
      <formula>COUNTIFS($C$11:$C$20,"A6")&gt;0</formula>
    </cfRule>
  </conditionalFormatting>
  <conditionalFormatting sqref="C23:H23">
    <cfRule type="expression" dxfId="48" priority="7">
      <formula>COUNTIFS($C$11:$C$20,"A1")&gt;0</formula>
    </cfRule>
  </conditionalFormatting>
  <conditionalFormatting sqref="I23">
    <cfRule type="expression" dxfId="47" priority="8">
      <formula>COUNTIFS($D$11:$D$20,"B1")&gt;0</formula>
    </cfRule>
  </conditionalFormatting>
  <conditionalFormatting sqref="I24">
    <cfRule type="expression" dxfId="46" priority="9">
      <formula>COUNTIFS($D$11:$D$20,"B2")&gt;0</formula>
    </cfRule>
  </conditionalFormatting>
  <conditionalFormatting sqref="I25">
    <cfRule type="expression" dxfId="45" priority="10">
      <formula>COUNTIFS($D$11:$D$20,"B3")&gt;0</formula>
    </cfRule>
  </conditionalFormatting>
  <conditionalFormatting sqref="I26">
    <cfRule type="expression" dxfId="44" priority="11">
      <formula>COUNTIFS($D$11:$D$20,"B4")&gt;0</formula>
    </cfRule>
  </conditionalFormatting>
  <conditionalFormatting sqref="I27">
    <cfRule type="expression" dxfId="43" priority="12">
      <formula>COUNTIFS($D$11:$D$20,"B5")&gt;0</formula>
    </cfRule>
  </conditionalFormatting>
  <conditionalFormatting sqref="I28">
    <cfRule type="expression" dxfId="42" priority="13">
      <formula>COUNTIFS($D$11:$D$20,"B6")&gt;0</formula>
    </cfRule>
  </conditionalFormatting>
  <conditionalFormatting sqref="I29">
    <cfRule type="expression" dxfId="41" priority="14">
      <formula>COUNTIFS($D$11:$D$20,"B7")&gt;0</formula>
    </cfRule>
  </conditionalFormatting>
  <conditionalFormatting sqref="I30">
    <cfRule type="expression" dxfId="40" priority="15">
      <formula>COUNTIFS($D$11:$D$20,"B8")&gt;0</formula>
    </cfRule>
  </conditionalFormatting>
  <conditionalFormatting sqref="I31">
    <cfRule type="expression" dxfId="39" priority="16">
      <formula>COUNTIFS($D$11:$D$20,"B9")&gt;0</formula>
    </cfRule>
  </conditionalFormatting>
  <conditionalFormatting sqref="I32">
    <cfRule type="expression" dxfId="38" priority="17">
      <formula>COUNTIFS($D$11:$D$20,"B10")&gt;0</formula>
    </cfRule>
  </conditionalFormatting>
  <conditionalFormatting sqref="I33">
    <cfRule type="expression" dxfId="37" priority="18">
      <formula>COUNTIFS($D$11:$D$20,"B11")&gt;0</formula>
    </cfRule>
  </conditionalFormatting>
  <conditionalFormatting sqref="I34">
    <cfRule type="expression" dxfId="3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206</v>
      </c>
      <c r="D4" s="89"/>
      <c r="E4" s="89"/>
      <c r="F4" s="89"/>
      <c r="G4" s="89"/>
      <c r="H4" s="89"/>
      <c r="I4" s="89"/>
      <c r="J4" s="89"/>
      <c r="K4" s="89"/>
      <c r="L4" s="89"/>
      <c r="M4" s="89"/>
      <c r="N4" s="90"/>
    </row>
    <row r="5" spans="2:14" ht="15" customHeight="1">
      <c r="B5" s="38" t="s">
        <v>155</v>
      </c>
      <c r="C5" s="67" t="s">
        <v>86</v>
      </c>
      <c r="D5" s="82"/>
      <c r="E5" s="82"/>
      <c r="F5" s="82"/>
      <c r="G5" s="82"/>
      <c r="H5" s="82"/>
      <c r="I5" s="83"/>
      <c r="J5" s="74" t="s">
        <v>156</v>
      </c>
      <c r="K5" s="82"/>
      <c r="L5" s="80" t="s">
        <v>85</v>
      </c>
      <c r="M5" s="82"/>
      <c r="N5" s="83"/>
    </row>
    <row r="6" spans="2:14" ht="15" customHeight="1">
      <c r="B6" s="38" t="s">
        <v>157</v>
      </c>
      <c r="C6" s="67" t="s">
        <v>207</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371</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166</v>
      </c>
      <c r="D11" s="42" t="s">
        <v>195</v>
      </c>
      <c r="E11" s="42">
        <v>4</v>
      </c>
      <c r="F11" s="42"/>
      <c r="G11" s="68" t="s">
        <v>372</v>
      </c>
      <c r="H11" s="91"/>
      <c r="I11" s="91"/>
      <c r="J11" s="91"/>
      <c r="K11" s="91"/>
      <c r="L11" s="91"/>
      <c r="M11" s="91"/>
      <c r="N11" s="92"/>
    </row>
    <row r="12" spans="2:14" ht="36.75" customHeight="1">
      <c r="B12" s="41"/>
      <c r="C12" s="42" t="s">
        <v>169</v>
      </c>
      <c r="D12" s="42" t="s">
        <v>196</v>
      </c>
      <c r="E12" s="42">
        <v>3</v>
      </c>
      <c r="F12" s="42"/>
      <c r="G12" s="68" t="s">
        <v>373</v>
      </c>
      <c r="H12" s="91"/>
      <c r="I12" s="91"/>
      <c r="J12" s="91"/>
      <c r="K12" s="91"/>
      <c r="L12" s="91"/>
      <c r="M12" s="91"/>
      <c r="N12" s="92"/>
    </row>
    <row r="13" spans="2:14" ht="52.9" customHeight="1">
      <c r="B13" s="41"/>
      <c r="C13" s="42" t="s">
        <v>193</v>
      </c>
      <c r="D13" s="42" t="s">
        <v>194</v>
      </c>
      <c r="E13" s="42">
        <v>3</v>
      </c>
      <c r="F13" s="42"/>
      <c r="G13" s="68" t="s">
        <v>374</v>
      </c>
      <c r="H13" s="91"/>
      <c r="I13" s="91"/>
      <c r="J13" s="91"/>
      <c r="K13" s="91"/>
      <c r="L13" s="91"/>
      <c r="M13" s="91"/>
      <c r="N13" s="92"/>
    </row>
    <row r="14" spans="2:14" ht="52.9" customHeight="1">
      <c r="B14" s="41"/>
      <c r="C14" s="42" t="s">
        <v>168</v>
      </c>
      <c r="D14" s="42" t="s">
        <v>201</v>
      </c>
      <c r="E14" s="42">
        <v>2</v>
      </c>
      <c r="F14" s="42"/>
      <c r="G14" s="68" t="s">
        <v>375</v>
      </c>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f>IFERROR(AVERAGEIFS($E$11:$E$20,$C$11:$C$20,K$37,$D$11:$D$20,$B39),"")</f>
        <v>3</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f>IFERROR(AVERAGEIFS($E$11:$E$20,$C$11:$C$20,E$37,$D$11:$D$20,$B40),"")</f>
        <v>4</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f>IFERROR(AVERAGEIFS($E$11:$E$20,$C$11:$C$20,I$37,$D$11:$D$20,$B41),"")</f>
        <v>3</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f>IFERROR(AVERAGEIFS($E$11:$E$20,$C$11:$C$20,G$37,$D$11:$D$20,$B47),"")</f>
        <v>2</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5" priority="2">
      <formula>COUNTIFS($C$11:$C$20,"A2")&gt;0</formula>
    </cfRule>
  </conditionalFormatting>
  <conditionalFormatting sqref="C25">
    <cfRule type="expression" dxfId="34" priority="3">
      <formula>COUNTIFS($C$11:$C$20,"A3")&gt;0</formula>
    </cfRule>
  </conditionalFormatting>
  <conditionalFormatting sqref="C26">
    <cfRule type="expression" dxfId="33" priority="4">
      <formula>COUNTIFS($C$11:$C$20,"A4")&gt;0</formula>
    </cfRule>
  </conditionalFormatting>
  <conditionalFormatting sqref="C27">
    <cfRule type="expression" dxfId="32" priority="5">
      <formula>COUNTIFS($C$11:$C$20,"A5")&gt;0</formula>
    </cfRule>
  </conditionalFormatting>
  <conditionalFormatting sqref="C28">
    <cfRule type="expression" dxfId="31" priority="6">
      <formula>COUNTIFS($C$11:$C$20,"A6")&gt;0</formula>
    </cfRule>
  </conditionalFormatting>
  <conditionalFormatting sqref="C23:H23">
    <cfRule type="expression" dxfId="30" priority="7">
      <formula>COUNTIFS($C$11:$C$20,"A1")&gt;0</formula>
    </cfRule>
  </conditionalFormatting>
  <conditionalFormatting sqref="I23">
    <cfRule type="expression" dxfId="29" priority="8">
      <formula>COUNTIFS($D$11:$D$20,"B1")&gt;0</formula>
    </cfRule>
  </conditionalFormatting>
  <conditionalFormatting sqref="I24">
    <cfRule type="expression" dxfId="28" priority="9">
      <formula>COUNTIFS($D$11:$D$20,"B2")&gt;0</formula>
    </cfRule>
  </conditionalFormatting>
  <conditionalFormatting sqref="I25">
    <cfRule type="expression" dxfId="27" priority="10">
      <formula>COUNTIFS($D$11:$D$20,"B3")&gt;0</formula>
    </cfRule>
  </conditionalFormatting>
  <conditionalFormatting sqref="I26">
    <cfRule type="expression" dxfId="26" priority="11">
      <formula>COUNTIFS($D$11:$D$20,"B4")&gt;0</formula>
    </cfRule>
  </conditionalFormatting>
  <conditionalFormatting sqref="I27">
    <cfRule type="expression" dxfId="25" priority="12">
      <formula>COUNTIFS($D$11:$D$20,"B5")&gt;0</formula>
    </cfRule>
  </conditionalFormatting>
  <conditionalFormatting sqref="I28">
    <cfRule type="expression" dxfId="24" priority="13">
      <formula>COUNTIFS($D$11:$D$20,"B6")&gt;0</formula>
    </cfRule>
  </conditionalFormatting>
  <conditionalFormatting sqref="I29">
    <cfRule type="expression" dxfId="23" priority="14">
      <formula>COUNTIFS($D$11:$D$20,"B7")&gt;0</formula>
    </cfRule>
  </conditionalFormatting>
  <conditionalFormatting sqref="I30">
    <cfRule type="expression" dxfId="22" priority="15">
      <formula>COUNTIFS($D$11:$D$20,"B8")&gt;0</formula>
    </cfRule>
  </conditionalFormatting>
  <conditionalFormatting sqref="I31">
    <cfRule type="expression" dxfId="21" priority="16">
      <formula>COUNTIFS($D$11:$D$20,"B9")&gt;0</formula>
    </cfRule>
  </conditionalFormatting>
  <conditionalFormatting sqref="I32">
    <cfRule type="expression" dxfId="20" priority="17">
      <formula>COUNTIFS($D$11:$D$20,"B10")&gt;0</formula>
    </cfRule>
  </conditionalFormatting>
  <conditionalFormatting sqref="I33">
    <cfRule type="expression" dxfId="19" priority="18">
      <formula>COUNTIFS($D$11:$D$20,"B11")&gt;0</formula>
    </cfRule>
  </conditionalFormatting>
  <conditionalFormatting sqref="I34">
    <cfRule type="expression" dxfId="1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152</v>
      </c>
      <c r="C2" s="81"/>
      <c r="D2" s="81"/>
      <c r="E2" s="81"/>
      <c r="F2" s="81"/>
      <c r="G2" s="81"/>
      <c r="H2" s="81"/>
      <c r="I2" s="81"/>
      <c r="J2" s="81"/>
      <c r="K2" s="81"/>
      <c r="L2" s="81"/>
      <c r="M2" s="81"/>
      <c r="N2" s="81"/>
    </row>
    <row r="3" spans="2:14" ht="3" customHeight="1"/>
    <row r="4" spans="2:14" ht="15" customHeight="1">
      <c r="B4" s="38" t="s">
        <v>153</v>
      </c>
      <c r="C4" s="88" t="s">
        <v>272</v>
      </c>
      <c r="D4" s="89"/>
      <c r="E4" s="89"/>
      <c r="F4" s="89"/>
      <c r="G4" s="89"/>
      <c r="H4" s="89"/>
      <c r="I4" s="89"/>
      <c r="J4" s="89"/>
      <c r="K4" s="89"/>
      <c r="L4" s="89"/>
      <c r="M4" s="89"/>
      <c r="N4" s="90"/>
    </row>
    <row r="5" spans="2:14" ht="15" customHeight="1">
      <c r="B5" s="38" t="s">
        <v>155</v>
      </c>
      <c r="C5" s="67" t="s">
        <v>88</v>
      </c>
      <c r="D5" s="82"/>
      <c r="E5" s="82"/>
      <c r="F5" s="82"/>
      <c r="G5" s="82"/>
      <c r="H5" s="82"/>
      <c r="I5" s="83"/>
      <c r="J5" s="74" t="s">
        <v>156</v>
      </c>
      <c r="K5" s="82"/>
      <c r="L5" s="80" t="s">
        <v>87</v>
      </c>
      <c r="M5" s="82"/>
      <c r="N5" s="83"/>
    </row>
    <row r="6" spans="2:14" ht="15" customHeight="1">
      <c r="B6" s="38" t="s">
        <v>157</v>
      </c>
      <c r="C6" s="67" t="s">
        <v>273</v>
      </c>
      <c r="D6" s="82"/>
      <c r="E6" s="82"/>
      <c r="F6" s="82"/>
      <c r="G6" s="82"/>
      <c r="H6" s="82"/>
      <c r="I6" s="83"/>
      <c r="J6" s="74" t="s">
        <v>158</v>
      </c>
      <c r="K6" s="82"/>
      <c r="L6" s="67" t="s">
        <v>7</v>
      </c>
      <c r="M6" s="82"/>
      <c r="N6" s="83"/>
    </row>
    <row r="7" spans="2:14" ht="13.5" customHeight="1">
      <c r="B7" s="39" t="s">
        <v>159</v>
      </c>
      <c r="C7" s="67"/>
      <c r="D7" s="82"/>
      <c r="E7" s="82"/>
      <c r="F7" s="82"/>
      <c r="G7" s="82"/>
      <c r="H7" s="82"/>
      <c r="I7" s="83"/>
      <c r="J7" s="71" t="s">
        <v>160</v>
      </c>
      <c r="K7" s="83"/>
      <c r="L7" s="67"/>
      <c r="M7" s="82"/>
      <c r="N7" s="83"/>
    </row>
    <row r="8" spans="2:14" ht="300.75" customHeight="1">
      <c r="B8" s="38" t="s">
        <v>15</v>
      </c>
      <c r="C8" s="76" t="s">
        <v>376</v>
      </c>
      <c r="D8" s="89"/>
      <c r="E8" s="89"/>
      <c r="F8" s="89"/>
      <c r="G8" s="89"/>
      <c r="H8" s="89"/>
      <c r="I8" s="89"/>
      <c r="J8" s="89"/>
      <c r="K8" s="89"/>
      <c r="L8" s="89"/>
      <c r="M8" s="89"/>
      <c r="N8" s="90"/>
    </row>
    <row r="9" spans="2:14" ht="9" customHeight="1"/>
    <row r="10" spans="2:14" ht="13.5" customHeight="1">
      <c r="B10" s="40" t="s">
        <v>162</v>
      </c>
      <c r="C10" s="40" t="s">
        <v>163</v>
      </c>
      <c r="D10" s="40" t="s">
        <v>164</v>
      </c>
      <c r="E10" s="40" t="s">
        <v>18</v>
      </c>
      <c r="F10" s="40" t="s">
        <v>19</v>
      </c>
      <c r="G10" s="77" t="s">
        <v>165</v>
      </c>
      <c r="H10" s="91"/>
      <c r="I10" s="91"/>
      <c r="J10" s="91"/>
      <c r="K10" s="91"/>
      <c r="L10" s="91"/>
      <c r="M10" s="91"/>
      <c r="N10" s="92"/>
    </row>
    <row r="11" spans="2:14" ht="52.9" customHeight="1">
      <c r="B11" s="41"/>
      <c r="C11" s="42" t="s">
        <v>169</v>
      </c>
      <c r="D11" s="42" t="s">
        <v>167</v>
      </c>
      <c r="E11" s="42">
        <v>5</v>
      </c>
      <c r="F11" s="42"/>
      <c r="G11" s="68" t="s">
        <v>377</v>
      </c>
      <c r="H11" s="91"/>
      <c r="I11" s="91"/>
      <c r="J11" s="91"/>
      <c r="K11" s="91"/>
      <c r="L11" s="91"/>
      <c r="M11" s="91"/>
      <c r="N11" s="92"/>
    </row>
    <row r="12" spans="2:14" ht="15" customHeight="1">
      <c r="B12" s="41"/>
      <c r="C12" s="42"/>
      <c r="D12" s="42"/>
      <c r="E12" s="42"/>
      <c r="F12" s="42"/>
      <c r="G12" s="68"/>
      <c r="H12" s="91"/>
      <c r="I12" s="91"/>
      <c r="J12" s="91"/>
      <c r="K12" s="91"/>
      <c r="L12" s="91"/>
      <c r="M12" s="91"/>
      <c r="N12" s="92"/>
    </row>
    <row r="13" spans="2:14" ht="15" customHeight="1">
      <c r="B13" s="41"/>
      <c r="C13" s="42"/>
      <c r="D13" s="42"/>
      <c r="E13" s="42"/>
      <c r="F13" s="42"/>
      <c r="G13" s="68"/>
      <c r="H13" s="91"/>
      <c r="I13" s="91"/>
      <c r="J13" s="91"/>
      <c r="K13" s="91"/>
      <c r="L13" s="91"/>
      <c r="M13" s="91"/>
      <c r="N13" s="92"/>
    </row>
    <row r="14" spans="2:14" ht="15" customHeight="1">
      <c r="B14" s="41"/>
      <c r="C14" s="42"/>
      <c r="D14" s="42"/>
      <c r="E14" s="42"/>
      <c r="F14" s="42"/>
      <c r="G14" s="68"/>
      <c r="H14" s="91"/>
      <c r="I14" s="91"/>
      <c r="J14" s="91"/>
      <c r="K14" s="91"/>
      <c r="L14" s="91"/>
      <c r="M14" s="91"/>
      <c r="N14" s="92"/>
    </row>
    <row r="15" spans="2:14" ht="15" customHeight="1">
      <c r="B15" s="41"/>
      <c r="C15" s="42"/>
      <c r="D15" s="42"/>
      <c r="E15" s="42"/>
      <c r="F15" s="42"/>
      <c r="G15" s="68"/>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114</v>
      </c>
      <c r="C22" s="78" t="s">
        <v>173</v>
      </c>
      <c r="D22" s="93"/>
      <c r="E22" s="93"/>
      <c r="F22" s="93"/>
      <c r="G22" s="93"/>
      <c r="H22" s="94"/>
      <c r="I22" s="79" t="s">
        <v>174</v>
      </c>
      <c r="J22" s="93"/>
      <c r="K22" s="93"/>
      <c r="L22" s="93"/>
      <c r="M22" s="93"/>
      <c r="N22" s="94"/>
    </row>
    <row r="23" spans="2:14" ht="14.25" customHeight="1">
      <c r="B23" s="95"/>
      <c r="C23" s="65" t="s">
        <v>175</v>
      </c>
      <c r="D23" s="81"/>
      <c r="E23" s="81"/>
      <c r="F23" s="81"/>
      <c r="G23" s="81"/>
      <c r="H23" s="96"/>
      <c r="I23" s="65" t="s">
        <v>176</v>
      </c>
      <c r="J23" s="81"/>
      <c r="K23" s="81"/>
      <c r="L23" s="81"/>
      <c r="M23" s="81"/>
      <c r="N23" s="96"/>
    </row>
    <row r="24" spans="2:14" ht="14.25" customHeight="1">
      <c r="B24" s="95"/>
      <c r="C24" s="65" t="s">
        <v>177</v>
      </c>
      <c r="D24" s="81"/>
      <c r="E24" s="81"/>
      <c r="F24" s="81"/>
      <c r="G24" s="81"/>
      <c r="H24" s="96"/>
      <c r="I24" s="66" t="s">
        <v>178</v>
      </c>
      <c r="J24" s="81"/>
      <c r="K24" s="81"/>
      <c r="L24" s="81"/>
      <c r="M24" s="81"/>
      <c r="N24" s="96"/>
    </row>
    <row r="25" spans="2:14" ht="14.25" customHeight="1">
      <c r="B25" s="95"/>
      <c r="C25" s="65" t="s">
        <v>179</v>
      </c>
      <c r="D25" s="81"/>
      <c r="E25" s="81"/>
      <c r="F25" s="81"/>
      <c r="G25" s="81"/>
      <c r="H25" s="96"/>
      <c r="I25" s="66" t="s">
        <v>180</v>
      </c>
      <c r="J25" s="81"/>
      <c r="K25" s="81"/>
      <c r="L25" s="81"/>
      <c r="M25" s="81"/>
      <c r="N25" s="96"/>
    </row>
    <row r="26" spans="2:14" ht="14.25" customHeight="1">
      <c r="B26" s="95"/>
      <c r="C26" s="65" t="s">
        <v>181</v>
      </c>
      <c r="D26" s="81"/>
      <c r="E26" s="81"/>
      <c r="F26" s="81"/>
      <c r="G26" s="81"/>
      <c r="H26" s="96"/>
      <c r="I26" s="66" t="s">
        <v>182</v>
      </c>
      <c r="J26" s="81"/>
      <c r="K26" s="81"/>
      <c r="L26" s="81"/>
      <c r="M26" s="81"/>
      <c r="N26" s="96"/>
    </row>
    <row r="27" spans="2:14" ht="14.25" customHeight="1">
      <c r="B27" s="95"/>
      <c r="C27" s="65" t="s">
        <v>183</v>
      </c>
      <c r="D27" s="81"/>
      <c r="E27" s="81"/>
      <c r="F27" s="81"/>
      <c r="G27" s="81"/>
      <c r="H27" s="96"/>
      <c r="I27" s="66" t="s">
        <v>184</v>
      </c>
      <c r="J27" s="81"/>
      <c r="K27" s="81"/>
      <c r="L27" s="81"/>
      <c r="M27" s="81"/>
      <c r="N27" s="96"/>
    </row>
    <row r="28" spans="2:14" ht="14.25" customHeight="1">
      <c r="B28" s="95"/>
      <c r="C28" s="65" t="s">
        <v>185</v>
      </c>
      <c r="D28" s="81"/>
      <c r="E28" s="81"/>
      <c r="F28" s="81"/>
      <c r="G28" s="81"/>
      <c r="H28" s="96"/>
      <c r="I28" s="66" t="s">
        <v>186</v>
      </c>
      <c r="J28" s="81"/>
      <c r="K28" s="81"/>
      <c r="L28" s="81"/>
      <c r="M28" s="81"/>
      <c r="N28" s="96"/>
    </row>
    <row r="29" spans="2:14" ht="14.25" customHeight="1">
      <c r="B29" s="95"/>
      <c r="C29" s="65"/>
      <c r="D29" s="81"/>
      <c r="E29" s="81"/>
      <c r="F29" s="81"/>
      <c r="G29" s="81"/>
      <c r="H29" s="96"/>
      <c r="I29" s="66" t="s">
        <v>187</v>
      </c>
      <c r="J29" s="81"/>
      <c r="K29" s="81"/>
      <c r="L29" s="81"/>
      <c r="M29" s="81"/>
      <c r="N29" s="96"/>
    </row>
    <row r="30" spans="2:14" ht="14.25" customHeight="1">
      <c r="B30" s="95"/>
      <c r="C30" s="65"/>
      <c r="D30" s="81"/>
      <c r="E30" s="81"/>
      <c r="F30" s="81"/>
      <c r="G30" s="81"/>
      <c r="H30" s="96"/>
      <c r="I30" s="66" t="s">
        <v>188</v>
      </c>
      <c r="J30" s="81"/>
      <c r="K30" s="81"/>
      <c r="L30" s="81"/>
      <c r="M30" s="81"/>
      <c r="N30" s="96"/>
    </row>
    <row r="31" spans="2:14" ht="14.25" customHeight="1">
      <c r="B31" s="95"/>
      <c r="C31" s="65"/>
      <c r="D31" s="81"/>
      <c r="E31" s="81"/>
      <c r="F31" s="81"/>
      <c r="G31" s="81"/>
      <c r="H31" s="96"/>
      <c r="I31" s="66" t="s">
        <v>189</v>
      </c>
      <c r="J31" s="81"/>
      <c r="K31" s="81"/>
      <c r="L31" s="81"/>
      <c r="M31" s="81"/>
      <c r="N31" s="96"/>
    </row>
    <row r="32" spans="2:14" ht="14.25" customHeight="1">
      <c r="B32" s="95"/>
      <c r="C32" s="65"/>
      <c r="D32" s="81"/>
      <c r="E32" s="81"/>
      <c r="F32" s="81"/>
      <c r="G32" s="81"/>
      <c r="H32" s="96"/>
      <c r="I32" s="66" t="s">
        <v>190</v>
      </c>
      <c r="J32" s="81"/>
      <c r="K32" s="81"/>
      <c r="L32" s="81"/>
      <c r="M32" s="81"/>
      <c r="N32" s="96"/>
    </row>
    <row r="33" spans="2:14" ht="14.25" customHeight="1">
      <c r="B33" s="95"/>
      <c r="C33" s="65"/>
      <c r="D33" s="81"/>
      <c r="E33" s="81"/>
      <c r="F33" s="81"/>
      <c r="G33" s="81"/>
      <c r="H33" s="96"/>
      <c r="I33" s="66" t="s">
        <v>191</v>
      </c>
      <c r="J33" s="81"/>
      <c r="K33" s="81"/>
      <c r="L33" s="81"/>
      <c r="M33" s="81"/>
      <c r="N33" s="96"/>
    </row>
    <row r="34" spans="2:14" ht="14.25" customHeight="1">
      <c r="B34" s="85"/>
      <c r="C34" s="72"/>
      <c r="D34" s="97"/>
      <c r="E34" s="97"/>
      <c r="F34" s="97"/>
      <c r="G34" s="97"/>
      <c r="H34" s="98"/>
      <c r="I34" s="73" t="s">
        <v>192</v>
      </c>
      <c r="J34" s="97"/>
      <c r="K34" s="97"/>
      <c r="L34" s="97"/>
      <c r="M34" s="97"/>
      <c r="N34" s="98"/>
    </row>
    <row r="35" spans="2:14" ht="3" customHeight="1"/>
    <row r="36" spans="2:14" ht="9" customHeight="1"/>
    <row r="37" spans="2:14" ht="15" customHeight="1">
      <c r="B37" s="70"/>
      <c r="C37" s="58" t="s">
        <v>171</v>
      </c>
      <c r="D37" s="84"/>
      <c r="E37" s="62" t="s">
        <v>166</v>
      </c>
      <c r="F37" s="84"/>
      <c r="G37" s="60" t="s">
        <v>168</v>
      </c>
      <c r="H37" s="84"/>
      <c r="I37" s="60" t="s">
        <v>169</v>
      </c>
      <c r="J37" s="84"/>
      <c r="K37" s="58" t="s">
        <v>193</v>
      </c>
      <c r="L37" s="84"/>
      <c r="M37" s="58" t="s">
        <v>170</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194</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195</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196</v>
      </c>
      <c r="C41" s="17" t="str">
        <f>IFERROR(AVERAGEIFS($E$11:$E$20,$C$11:$C$20,C$37,$D$11:$D$20,$B41),"")</f>
        <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197</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198</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199</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167</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f>IFERROR(AVERAGEIFS($E$11:$E$20,$C$11:$C$20,I$37,$D$11:$D$20,$B45),"")</f>
        <v>5</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200</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201</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202</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172</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203</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204</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7" priority="2">
      <formula>COUNTIFS($C$11:$C$20,"A2")&gt;0</formula>
    </cfRule>
  </conditionalFormatting>
  <conditionalFormatting sqref="C25">
    <cfRule type="expression" dxfId="16" priority="3">
      <formula>COUNTIFS($C$11:$C$20,"A3")&gt;0</formula>
    </cfRule>
  </conditionalFormatting>
  <conditionalFormatting sqref="C26">
    <cfRule type="expression" dxfId="15" priority="4">
      <formula>COUNTIFS($C$11:$C$20,"A4")&gt;0</formula>
    </cfRule>
  </conditionalFormatting>
  <conditionalFormatting sqref="C27">
    <cfRule type="expression" dxfId="14" priority="5">
      <formula>COUNTIFS($C$11:$C$20,"A5")&gt;0</formula>
    </cfRule>
  </conditionalFormatting>
  <conditionalFormatting sqref="C28">
    <cfRule type="expression" dxfId="13" priority="6">
      <formula>COUNTIFS($C$11:$C$20,"A6")&gt;0</formula>
    </cfRule>
  </conditionalFormatting>
  <conditionalFormatting sqref="C23:H23">
    <cfRule type="expression" dxfId="12" priority="7">
      <formula>COUNTIFS($C$11:$C$20,"A1")&gt;0</formula>
    </cfRule>
  </conditionalFormatting>
  <conditionalFormatting sqref="I23">
    <cfRule type="expression" dxfId="11" priority="8">
      <formula>COUNTIFS($D$11:$D$20,"B1")&gt;0</formula>
    </cfRule>
  </conditionalFormatting>
  <conditionalFormatting sqref="I24">
    <cfRule type="expression" dxfId="10" priority="9">
      <formula>COUNTIFS($D$11:$D$20,"B2")&gt;0</formula>
    </cfRule>
  </conditionalFormatting>
  <conditionalFormatting sqref="I25">
    <cfRule type="expression" dxfId="9" priority="10">
      <formula>COUNTIFS($D$11:$D$20,"B3")&gt;0</formula>
    </cfRule>
  </conditionalFormatting>
  <conditionalFormatting sqref="I26">
    <cfRule type="expression" dxfId="8" priority="11">
      <formula>COUNTIFS($D$11:$D$20,"B4")&gt;0</formula>
    </cfRule>
  </conditionalFormatting>
  <conditionalFormatting sqref="I27">
    <cfRule type="expression" dxfId="7" priority="12">
      <formula>COUNTIFS($D$11:$D$20,"B5")&gt;0</formula>
    </cfRule>
  </conditionalFormatting>
  <conditionalFormatting sqref="I28">
    <cfRule type="expression" dxfId="6" priority="13">
      <formula>COUNTIFS($D$11:$D$20,"B6")&gt;0</formula>
    </cfRule>
  </conditionalFormatting>
  <conditionalFormatting sqref="I29">
    <cfRule type="expression" dxfId="5" priority="14">
      <formula>COUNTIFS($D$11:$D$20,"B7")&gt;0</formula>
    </cfRule>
  </conditionalFormatting>
  <conditionalFormatting sqref="I30">
    <cfRule type="expression" dxfId="4" priority="15">
      <formula>COUNTIFS($D$11:$D$20,"B8")&gt;0</formula>
    </cfRule>
  </conditionalFormatting>
  <conditionalFormatting sqref="I31">
    <cfRule type="expression" dxfId="3" priority="16">
      <formula>COUNTIFS($D$11:$D$20,"B9")&gt;0</formula>
    </cfRule>
  </conditionalFormatting>
  <conditionalFormatting sqref="I32">
    <cfRule type="expression" dxfId="2" priority="17">
      <formula>COUNTIFS($D$11:$D$20,"B10")&gt;0</formula>
    </cfRule>
  </conditionalFormatting>
  <conditionalFormatting sqref="I33">
    <cfRule type="expression" dxfId="1" priority="18">
      <formula>COUNTIFS($D$11:$D$20,"B11")&gt;0</formula>
    </cfRule>
  </conditionalFormatting>
  <conditionalFormatting sqref="I34">
    <cfRule type="expression" dxfId="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cd92f4-3c66-4744-9aff-7656b992d38d">
      <Terms xmlns="http://schemas.microsoft.com/office/infopath/2007/PartnerControls"/>
    </lcf76f155ced4ddcb4097134ff3c332f>
    <TaxCatchAll xmlns="5e72814a-0ba9-471c-b888-921f70a47715" xsi:nil="true"/>
    <SpacetouploadMoM xmlns="d1cd92f4-3c66-4744-9aff-7656b992d38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4C85D4365AAB49B46BFA8E36436B78" ma:contentTypeVersion="20" ma:contentTypeDescription="Create a new document." ma:contentTypeScope="" ma:versionID="600a1c349b26aab6cd9af8354823b6e0">
  <xsd:schema xmlns:xsd="http://www.w3.org/2001/XMLSchema" xmlns:xs="http://www.w3.org/2001/XMLSchema" xmlns:p="http://schemas.microsoft.com/office/2006/metadata/properties" xmlns:ns2="d1cd92f4-3c66-4744-9aff-7656b992d38d" xmlns:ns3="5e72814a-0ba9-471c-b888-921f70a47715" targetNamespace="http://schemas.microsoft.com/office/2006/metadata/properties" ma:root="true" ma:fieldsID="107faacb6a8b53c1d63430a1a63f0435" ns2:_="" ns3:_="">
    <xsd:import namespace="d1cd92f4-3c66-4744-9aff-7656b992d38d"/>
    <xsd:import namespace="5e72814a-0ba9-471c-b888-921f70a477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SpacetouploadMoM" minOccurs="0"/>
                <xsd:element ref="ns2:lcf76f155ced4ddcb4097134ff3c332f" minOccurs="0"/>
                <xsd:element ref="ns3:TaxCatchAll"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cd92f4-3c66-4744-9aff-7656b992d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SpacetouploadMoM" ma:index="18" nillable="true" ma:displayName="Space to upload MoM" ma:format="Dropdown" ma:internalName="SpacetouploadMoM">
      <xsd:simpleType>
        <xsd:restriction base="dms:Text">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5275afd-c2aa-4474-ba66-cc51c139b42f"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72814a-0ba9-471c-b888-921f70a4771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42e19f4-f9ee-4772-a81c-41a599c1d4f8}" ma:internalName="TaxCatchAll" ma:showField="CatchAllData" ma:web="5e72814a-0ba9-471c-b888-921f70a47715">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69E8DB-97DF-4BCE-8688-76ED3CD1A78F}"/>
</file>

<file path=customXml/itemProps2.xml><?xml version="1.0" encoding="utf-8"?>
<ds:datastoreItem xmlns:ds="http://schemas.openxmlformats.org/officeDocument/2006/customXml" ds:itemID="{E1F6746E-A86F-4E53-87BB-10BCAC2416DD}"/>
</file>

<file path=customXml/itemProps3.xml><?xml version="1.0" encoding="utf-8"?>
<ds:datastoreItem xmlns:ds="http://schemas.openxmlformats.org/officeDocument/2006/customXml" ds:itemID="{ACF1764A-F761-4FBC-815A-406C10F2C2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 Jonveaux</dc:creator>
  <cp:keywords/>
  <dc:description/>
  <cp:lastModifiedBy>María Victoria Fernández Áñez</cp:lastModifiedBy>
  <cp:revision>13</cp:revision>
  <dcterms:created xsi:type="dcterms:W3CDTF">2023-12-23T11:37:17Z</dcterms:created>
  <dcterms:modified xsi:type="dcterms:W3CDTF">2025-02-10T16:54:23Z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0x010100144C85D4365AAB49B46BFA8E36436B78</vt:lpwstr>
  </property>
  <property fmtid="{D5CDD505-2E9C-101B-9397-08002B2CF9AE}" pid="3" name="TaxKeyword">
    <vt:lpwstr/>
  </property>
  <property fmtid="{D5CDD505-2E9C-101B-9397-08002B2CF9AE}" pid="4" name="_dlc_DocIdItemGuid">
    <vt:lpwstr>5fb75e6f-eab8-47de-b779-6ff7a9fe705a</vt:lpwstr>
  </property>
  <property fmtid="{D5CDD505-2E9C-101B-9397-08002B2CF9AE}" pid="5" name="MediaServiceImageTags">
    <vt:lpwstr/>
  </property>
</Properties>
</file>