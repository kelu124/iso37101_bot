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3.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ver" sheetId="1" state="visible" r:id="rId2"/>
    <sheet name="HowTo" sheetId="2" state="visible" r:id="rId3"/>
    <sheet name="Template" sheetId="3" state="visible" r:id="rId4"/>
    <sheet name="Definitions" sheetId="4" state="visible" r:id="rId5"/>
  </sheets>
  <definedNames>
    <definedName function="false" hidden="false" localSheetId="0" name="_xlnm.Print_Area" vbProcedure="false">Cover!$A$1:$S$25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<sst xmlns="http://schemas.openxmlformats.org/spreadsheetml/2006/main" count="188" uniqueCount="139">
  <si>
    <t xml:space="preserve">ISO37101 assessment</t>
  </si>
  <si>
    <t xml:space="preserve">If needed, see the "HowTo" tab for next actions</t>
  </si>
  <si>
    <t xml:space="preserve">Content</t>
  </si>
  <si>
    <t xml:space="preserve">Summary table: </t>
  </si>
  <si>
    <t xml:space="preserve">The following table summarizes the finding of this assessment.</t>
  </si>
  <si>
    <t xml:space="preserve">WP</t>
  </si>
  <si>
    <t xml:space="preserve">Average Score</t>
  </si>
  <si>
    <t xml:space="preserve">Attractiveness</t>
  </si>
  <si>
    <t xml:space="preserve">Environment</t>
  </si>
  <si>
    <t xml:space="preserve">Resilience</t>
  </si>
  <si>
    <t xml:space="preserve">Resources</t>
  </si>
  <si>
    <t xml:space="preserve">Cohesion</t>
  </si>
  <si>
    <t xml:space="preserve">Well Being</t>
  </si>
  <si>
    <t xml:space="preserve">Reviewed</t>
  </si>
  <si>
    <t xml:space="preserve">Review</t>
  </si>
  <si>
    <t xml:space="preserve">Title</t>
  </si>
  <si>
    <t xml:space="preserve">LL</t>
  </si>
  <si>
    <t xml:space="preserve">Bld.</t>
  </si>
  <si>
    <t xml:space="preserve">Neig.</t>
  </si>
  <si>
    <t xml:space="preserve">Date</t>
  </si>
  <si>
    <t xml:space="preserve">Author(s)</t>
  </si>
  <si>
    <t xml:space="preserve">Checked</t>
  </si>
  <si>
    <t xml:space="preserve">Validated</t>
  </si>
  <si>
    <t xml:space="preserve">Version of tool</t>
  </si>
  <si>
    <t xml:space="preserve">(15/11/2024)</t>
  </si>
  <si>
    <t xml:space="preserve">Number of count</t>
  </si>
  <si>
    <t xml:space="preserve">How to use</t>
  </si>
  <si>
    <t xml:space="preserve">Step</t>
  </si>
  <si>
    <t xml:space="preserve">Description</t>
  </si>
  <si>
    <t xml:space="preserve">Step 1</t>
  </si>
  <si>
    <t xml:space="preserve">Author/user sends their text for review (use cases, visions, ….)</t>
  </si>
  <si>
    <t xml:space="preserve">Step 2</t>
  </si>
  <si>
    <t xml:space="preserve">LJ processes the text and..</t>
  </si>
  <si>
    <t xml:space="preserve">Step3</t>
  </si>
  <si>
    <t xml:space="preserve">A draft assessment is created, in an excel format, and sent back o the author</t>
  </si>
  <si>
    <t xml:space="preserve">The authors checks green tabs, and can edit cells in yellow such as this cell. Other cells should not be edited.</t>
  </si>
  <si>
    <t xml:space="preserve">Step 4</t>
  </si>
  <si>
    <t xml:space="preserve">Author sends back edited excel.</t>
  </si>
  <si>
    <t xml:space="preserve">Step 5</t>
  </si>
  <si>
    <t xml:space="preserve">LJ updates the data and generates the assessment report.</t>
  </si>
  <si>
    <t xml:space="preserve">Step 6</t>
  </si>
  <si>
    <t xml:space="preserve">Author receives an updated assessment</t>
  </si>
  <si>
    <t xml:space="preserve">Tabs</t>
  </si>
  <si>
    <t xml:space="preserve">Green tabs</t>
  </si>
  <si>
    <t xml:space="preserve">Contains assessments</t>
  </si>
  <si>
    <t xml:space="preserve">Blue tab</t>
  </si>
  <si>
    <t xml:space="preserve">Contains definition</t>
  </si>
  <si>
    <t xml:space="preserve">Black tab</t>
  </si>
  <si>
    <t xml:space="preserve">Cover hsset</t>
  </si>
  <si>
    <t xml:space="preserve">Orange tab</t>
  </si>
  <si>
    <t xml:space="preserve">How to and explanations</t>
  </si>
  <si>
    <t xml:space="preserve">Self assessment sheet</t>
  </si>
  <si>
    <t xml:space="preserve">Activity</t>
  </si>
  <si>
    <t xml:space="preserve">ID:</t>
  </si>
  <si>
    <t xml:space="preserve">Deliverable</t>
  </si>
  <si>
    <t xml:space="preserve">LL:</t>
  </si>
  <si>
    <t xml:space="preserve">Reviewed by</t>
  </si>
  <si>
    <t xml:space="preserve">Date of review:</t>
  </si>
  <si>
    <t xml:space="preserve">ID</t>
  </si>
  <si>
    <t xml:space="preserve">Purp.</t>
  </si>
  <si>
    <t xml:space="preserve">Act.</t>
  </si>
  <si>
    <t xml:space="preserve">Justification</t>
  </si>
  <si>
    <t xml:space="preserve">Definitions</t>
  </si>
  <si>
    <t xml:space="preserve">A (Purposes)</t>
  </si>
  <si>
    <t xml:space="preserve">B (Actions)</t>
  </si>
  <si>
    <r>
      <rPr>
        <b val="true"/>
        <sz val="10"/>
        <color rgb="FF000000"/>
        <rFont val="Calibri"/>
        <family val="2"/>
        <charset val="1"/>
      </rPr>
      <t xml:space="preserve">1.</t>
    </r>
    <r>
      <rPr>
        <sz val="10"/>
        <color rgb="FF000000"/>
        <rFont val="Times New Roman"/>
        <family val="1"/>
        <charset val="1"/>
      </rPr>
      <t xml:space="preserve">      </t>
    </r>
    <r>
      <rPr>
        <sz val="10"/>
        <color rgb="FF000000"/>
        <rFont val="Calibri"/>
        <family val="2"/>
        <charset val="1"/>
      </rPr>
      <t xml:space="preserve">Attractiveness</t>
    </r>
  </si>
  <si>
    <r>
      <rPr>
        <b val="true"/>
        <sz val="10"/>
        <color rgb="FF000000"/>
        <rFont val="Calibri"/>
        <family val="2"/>
        <charset val="1"/>
      </rPr>
      <t xml:space="preserve">1.</t>
    </r>
    <r>
      <rPr>
        <sz val="10"/>
        <color rgb="FF000000"/>
        <rFont val="Times New Roman"/>
        <family val="1"/>
        <charset val="1"/>
      </rPr>
      <t xml:space="preserve">      </t>
    </r>
    <r>
      <rPr>
        <sz val="10"/>
        <color rgb="FF000000"/>
        <rFont val="Calibri"/>
        <family val="2"/>
        <charset val="1"/>
      </rPr>
      <t xml:space="preserve">Governance, empowerment, and engagement</t>
    </r>
  </si>
  <si>
    <r>
      <rPr>
        <b val="true"/>
        <sz val="10"/>
        <color rgb="FF000000"/>
        <rFont val="Calibri"/>
        <family val="2"/>
        <charset val="1"/>
      </rPr>
      <t xml:space="preserve">2.</t>
    </r>
    <r>
      <rPr>
        <sz val="10"/>
        <color rgb="FF000000"/>
        <rFont val="Times New Roman"/>
        <family val="1"/>
        <charset val="1"/>
      </rPr>
      <t xml:space="preserve">      </t>
    </r>
    <r>
      <rPr>
        <sz val="10"/>
        <color rgb="FF000000"/>
        <rFont val="Calibri"/>
        <family val="2"/>
        <charset val="1"/>
      </rPr>
      <t xml:space="preserve">Preservation and improvement of the environment</t>
    </r>
  </si>
  <si>
    <r>
      <rPr>
        <b val="true"/>
        <sz val="10"/>
        <color rgb="FF000000"/>
        <rFont val="Calibri"/>
        <family val="2"/>
        <charset val="1"/>
      </rPr>
      <t xml:space="preserve">2.</t>
    </r>
    <r>
      <rPr>
        <sz val="10"/>
        <color rgb="FF000000"/>
        <rFont val="Times New Roman"/>
        <family val="1"/>
        <charset val="1"/>
      </rPr>
      <t xml:space="preserve">      </t>
    </r>
    <r>
      <rPr>
        <sz val="10"/>
        <color rgb="FF000000"/>
        <rFont val="Calibri"/>
        <family val="2"/>
        <charset val="1"/>
      </rPr>
      <t xml:space="preserve">Education and capacity building</t>
    </r>
  </si>
  <si>
    <r>
      <rPr>
        <b val="true"/>
        <sz val="10"/>
        <color rgb="FF000000"/>
        <rFont val="Calibri"/>
        <family val="2"/>
        <charset val="1"/>
      </rPr>
      <t xml:space="preserve">3.</t>
    </r>
    <r>
      <rPr>
        <sz val="10"/>
        <color rgb="FF000000"/>
        <rFont val="Times New Roman"/>
        <family val="1"/>
        <charset val="1"/>
      </rPr>
      <t xml:space="preserve">      </t>
    </r>
    <r>
      <rPr>
        <sz val="10"/>
        <color rgb="FF000000"/>
        <rFont val="Calibri"/>
        <family val="2"/>
        <charset val="1"/>
      </rPr>
      <t xml:space="preserve">Resilience</t>
    </r>
  </si>
  <si>
    <r>
      <rPr>
        <b val="true"/>
        <sz val="10"/>
        <color rgb="FF000000"/>
        <rFont val="Calibri"/>
        <family val="2"/>
        <charset val="1"/>
      </rPr>
      <t xml:space="preserve">3.</t>
    </r>
    <r>
      <rPr>
        <sz val="10"/>
        <color rgb="FF000000"/>
        <rFont val="Times New Roman"/>
        <family val="1"/>
        <charset val="1"/>
      </rPr>
      <t xml:space="preserve">      </t>
    </r>
    <r>
      <rPr>
        <sz val="10"/>
        <color rgb="FF000000"/>
        <rFont val="Calibri"/>
        <family val="2"/>
        <charset val="1"/>
      </rPr>
      <t xml:space="preserve">Innovation, creativity, and research</t>
    </r>
  </si>
  <si>
    <r>
      <rPr>
        <b val="true"/>
        <sz val="10"/>
        <color rgb="FF000000"/>
        <rFont val="Calibri"/>
        <family val="2"/>
        <charset val="1"/>
      </rPr>
      <t xml:space="preserve">4.</t>
    </r>
    <r>
      <rPr>
        <sz val="10"/>
        <color rgb="FF000000"/>
        <rFont val="Times New Roman"/>
        <family val="1"/>
        <charset val="1"/>
      </rPr>
      <t xml:space="preserve">      </t>
    </r>
    <r>
      <rPr>
        <sz val="10"/>
        <color rgb="FF000000"/>
        <rFont val="Calibri"/>
        <family val="2"/>
        <charset val="1"/>
      </rPr>
      <t xml:space="preserve">Responsible resource use</t>
    </r>
  </si>
  <si>
    <r>
      <rPr>
        <b val="true"/>
        <sz val="10"/>
        <color rgb="FF000000"/>
        <rFont val="Calibri"/>
        <family val="2"/>
        <charset val="1"/>
      </rPr>
      <t xml:space="preserve">4.</t>
    </r>
    <r>
      <rPr>
        <sz val="10"/>
        <color rgb="FF000000"/>
        <rFont val="Times New Roman"/>
        <family val="1"/>
        <charset val="1"/>
      </rPr>
      <t xml:space="preserve">      </t>
    </r>
    <r>
      <rPr>
        <sz val="10"/>
        <color rgb="FF000000"/>
        <rFont val="Calibri"/>
        <family val="2"/>
        <charset val="1"/>
      </rPr>
      <t xml:space="preserve">Health and care in the community</t>
    </r>
  </si>
  <si>
    <r>
      <rPr>
        <b val="true"/>
        <sz val="10"/>
        <color rgb="FF000000"/>
        <rFont val="Calibri"/>
        <family val="2"/>
        <charset val="1"/>
      </rPr>
      <t xml:space="preserve">5.</t>
    </r>
    <r>
      <rPr>
        <sz val="10"/>
        <color rgb="FF000000"/>
        <rFont val="Times New Roman"/>
        <family val="1"/>
        <charset val="1"/>
      </rPr>
      <t xml:space="preserve">      </t>
    </r>
    <r>
      <rPr>
        <sz val="10"/>
        <color rgb="FF000000"/>
        <rFont val="Calibri"/>
        <family val="2"/>
        <charset val="1"/>
      </rPr>
      <t xml:space="preserve">Social cohesion</t>
    </r>
  </si>
  <si>
    <r>
      <rPr>
        <b val="true"/>
        <sz val="10"/>
        <color rgb="FF000000"/>
        <rFont val="Calibri"/>
        <family val="2"/>
        <charset val="1"/>
      </rPr>
      <t xml:space="preserve">5.</t>
    </r>
    <r>
      <rPr>
        <sz val="10"/>
        <color rgb="FF000000"/>
        <rFont val="Times New Roman"/>
        <family val="1"/>
        <charset val="1"/>
      </rPr>
      <t xml:space="preserve">      </t>
    </r>
    <r>
      <rPr>
        <sz val="10"/>
        <color rgb="FF000000"/>
        <rFont val="Calibri"/>
        <family val="2"/>
        <charset val="1"/>
      </rPr>
      <t xml:space="preserve">Culture and community identity</t>
    </r>
  </si>
  <si>
    <r>
      <rPr>
        <b val="true"/>
        <sz val="10"/>
        <color rgb="FF000000"/>
        <rFont val="Calibri"/>
        <family val="2"/>
        <charset val="1"/>
      </rPr>
      <t xml:space="preserve">6.</t>
    </r>
    <r>
      <rPr>
        <sz val="10"/>
        <color rgb="FF000000"/>
        <rFont val="Times New Roman"/>
        <family val="1"/>
        <charset val="1"/>
      </rPr>
      <t xml:space="preserve">      </t>
    </r>
    <r>
      <rPr>
        <sz val="10"/>
        <color rgb="FF000000"/>
        <rFont val="Calibri"/>
        <family val="2"/>
        <charset val="1"/>
      </rPr>
      <t xml:space="preserve">Wellbeing</t>
    </r>
  </si>
  <si>
    <r>
      <rPr>
        <b val="true"/>
        <sz val="10"/>
        <color rgb="FF000000"/>
        <rFont val="Calibri"/>
        <family val="2"/>
        <charset val="1"/>
      </rPr>
      <t xml:space="preserve">6.</t>
    </r>
    <r>
      <rPr>
        <sz val="10"/>
        <color rgb="FF000000"/>
        <rFont val="Times New Roman"/>
        <family val="1"/>
        <charset val="1"/>
      </rPr>
      <t xml:space="preserve">      </t>
    </r>
    <r>
      <rPr>
        <sz val="10"/>
        <color rgb="FF000000"/>
        <rFont val="Calibri"/>
        <family val="2"/>
        <charset val="1"/>
      </rPr>
      <t xml:space="preserve">Living together, interdependence and mutuality</t>
    </r>
  </si>
  <si>
    <r>
      <rPr>
        <b val="true"/>
        <sz val="10"/>
        <color rgb="FF000000"/>
        <rFont val="Calibri"/>
        <family val="2"/>
        <charset val="1"/>
      </rPr>
      <t xml:space="preserve">7.</t>
    </r>
    <r>
      <rPr>
        <sz val="10"/>
        <color rgb="FF000000"/>
        <rFont val="Times New Roman"/>
        <family val="1"/>
        <charset val="1"/>
      </rPr>
      <t xml:space="preserve">      </t>
    </r>
    <r>
      <rPr>
        <sz val="10"/>
        <color rgb="FF000000"/>
        <rFont val="Calibri"/>
        <family val="2"/>
        <charset val="1"/>
      </rPr>
      <t xml:space="preserve">Economy and sustainable production and consumption</t>
    </r>
  </si>
  <si>
    <r>
      <rPr>
        <b val="true"/>
        <sz val="10"/>
        <color rgb="FF000000"/>
        <rFont val="Calibri"/>
        <family val="2"/>
        <charset val="1"/>
      </rPr>
      <t xml:space="preserve">8.</t>
    </r>
    <r>
      <rPr>
        <sz val="10"/>
        <color rgb="FF000000"/>
        <rFont val="Times New Roman"/>
        <family val="1"/>
        <charset val="1"/>
      </rPr>
      <t xml:space="preserve">      </t>
    </r>
    <r>
      <rPr>
        <sz val="10"/>
        <color rgb="FF000000"/>
        <rFont val="Calibri"/>
        <family val="2"/>
        <charset val="1"/>
      </rPr>
      <t xml:space="preserve">Living and working environment</t>
    </r>
  </si>
  <si>
    <r>
      <rPr>
        <b val="true"/>
        <sz val="10"/>
        <color rgb="FF000000"/>
        <rFont val="Calibri"/>
        <family val="2"/>
        <charset val="1"/>
      </rPr>
      <t xml:space="preserve">9.</t>
    </r>
    <r>
      <rPr>
        <sz val="10"/>
        <color rgb="FF000000"/>
        <rFont val="Times New Roman"/>
        <family val="1"/>
        <charset val="1"/>
      </rPr>
      <t xml:space="preserve">      </t>
    </r>
    <r>
      <rPr>
        <sz val="10"/>
        <color rgb="FF000000"/>
        <rFont val="Calibri"/>
        <family val="2"/>
        <charset val="1"/>
      </rPr>
      <t xml:space="preserve">Safety and security</t>
    </r>
  </si>
  <si>
    <r>
      <rPr>
        <b val="true"/>
        <sz val="10"/>
        <color rgb="FF000000"/>
        <rFont val="Calibri"/>
        <family val="2"/>
        <charset val="1"/>
      </rPr>
      <t xml:space="preserve">10.</t>
    </r>
    <r>
      <rPr>
        <sz val="10"/>
        <color rgb="FF000000"/>
        <rFont val="Times New Roman"/>
        <family val="1"/>
        <charset val="1"/>
      </rPr>
      <t xml:space="preserve">   </t>
    </r>
    <r>
      <rPr>
        <sz val="10"/>
        <color rgb="FF000000"/>
        <rFont val="Calibri"/>
        <family val="2"/>
        <charset val="1"/>
      </rPr>
      <t xml:space="preserve">Biodiversity and ecosystem services</t>
    </r>
  </si>
  <si>
    <r>
      <rPr>
        <b val="true"/>
        <sz val="10"/>
        <color rgb="FF000000"/>
        <rFont val="Calibri"/>
        <family val="2"/>
        <charset val="1"/>
      </rPr>
      <t xml:space="preserve">11.</t>
    </r>
    <r>
      <rPr>
        <sz val="10"/>
        <color rgb="FF000000"/>
        <rFont val="Times New Roman"/>
        <family val="1"/>
        <charset val="1"/>
      </rPr>
      <t xml:space="preserve">   </t>
    </r>
    <r>
      <rPr>
        <sz val="10"/>
        <color rgb="FF000000"/>
        <rFont val="Calibri"/>
        <family val="2"/>
        <charset val="1"/>
      </rPr>
      <t xml:space="preserve">Community smart infrastructures</t>
    </r>
  </si>
  <si>
    <r>
      <rPr>
        <b val="true"/>
        <sz val="10"/>
        <color rgb="FF000000"/>
        <rFont val="Calibri"/>
        <family val="2"/>
        <charset val="1"/>
      </rPr>
      <t xml:space="preserve">12.</t>
    </r>
    <r>
      <rPr>
        <sz val="10"/>
        <color rgb="FF000000"/>
        <rFont val="Times New Roman"/>
        <family val="1"/>
        <charset val="1"/>
      </rPr>
      <t xml:space="preserve">   </t>
    </r>
    <r>
      <rPr>
        <sz val="10"/>
        <color rgb="FF000000"/>
        <rFont val="Calibri"/>
        <family val="2"/>
        <charset val="1"/>
      </rPr>
      <t xml:space="preserve">Mobility</t>
    </r>
  </si>
  <si>
    <t xml:space="preserve">A1</t>
  </si>
  <si>
    <t xml:space="preserve">A2</t>
  </si>
  <si>
    <t xml:space="preserve">A3</t>
  </si>
  <si>
    <t xml:space="preserve">A4</t>
  </si>
  <si>
    <t xml:space="preserve">A5</t>
  </si>
  <si>
    <t xml:space="preserve">A6</t>
  </si>
  <si>
    <t xml:space="preserve">B1</t>
  </si>
  <si>
    <t xml:space="preserve">B2</t>
  </si>
  <si>
    <t xml:space="preserve">B3</t>
  </si>
  <si>
    <t xml:space="preserve">B4</t>
  </si>
  <si>
    <t xml:space="preserve">B5</t>
  </si>
  <si>
    <t xml:space="preserve">B6</t>
  </si>
  <si>
    <t xml:space="preserve">B7</t>
  </si>
  <si>
    <t xml:space="preserve">B8</t>
  </si>
  <si>
    <t xml:space="preserve">B9</t>
  </si>
  <si>
    <t xml:space="preserve">B10</t>
  </si>
  <si>
    <t xml:space="preserve">B11</t>
  </si>
  <si>
    <t xml:space="preserve">B12</t>
  </si>
  <si>
    <t xml:space="preserve">* Scoring is done using Likert Scale</t>
  </si>
  <si>
    <t xml:space="preserve">As per https://www.iso.org/obp/ui/en/#iso:std:iso:37104:ed-1:v1:en</t>
  </si>
  <si>
    <t xml:space="preserve">Purpose of sustainability</t>
  </si>
  <si>
    <t xml:space="preserve">represents a territory's capacity to draw and retain citizens, businesses, and other stakeholders through its appeal and dynamism. It encompasses economic vitality, cultural richness, sense of place and identity, quality of life features, and strategic connectivity. For green building neighborhoods specifically, attractiveness manifests through innovative sustainable architecture, integrated urban planning, cultural amenities, and infrastructure that enhances both livability and economic opportunities. The purpose focuses on creating spaces that are not just environmentally responsible but also economically vibrant and socially desirable. </t>
  </si>
  <si>
    <t xml:space="preserve">Preservation and improvement of environment</t>
  </si>
  <si>
    <t xml:space="preserve">focuses on enhancing environmental performance through specific measurable actions like reducing greenhouse gas emissions, protecting and restoring biodiversity and ecosystem services, and reducing health hazards. For GBNs, this translates into active environmental stewardship through building design, land use practices, and infrastructure that not only minimizes negative environmental impacts but actively contributes to ecological regeneration. This includes protecting ecosystems, managing plant and animal diversity, preserving migration corridors, and maintaining genetic diversity within urban contexts.</t>
  </si>
  <si>
    <t xml:space="preserve">refers to a community's adaptive capacity in complex and changing environments. For GBNs, this encompasses anticipating and adapting to climate change impacts, preparing for economic shocks and stresses, and developing social evolution strategies. The standard particularly emphasizes taking both short-term and long-term perspectives on planning, with key focuses on: Climate change mitigation and adaptation capabilities, Economic and social shock preparedness, Organizational crisis response and recovery, Ability to maintain essential functions during disruption, and Capacity to "degrade gracefully" when necessary. It emphasizes the importance of both physical infrastructure resilience and social resilience in creating sustainable communities.</t>
  </si>
  <si>
    <t xml:space="preserve">Responsible resource use</t>
  </si>
  <si>
    <t xml:space="preserve">focuses on sustainable consumption, distribution, and management of all resource types - natural, human, and financial. This purpose emphasizes: Improving land management practices, Reducing, reusing and recycling materials, Respecting resource scarcity (especially water and energy), Promoting sustainable production, storage and transport methods, a,d Implementing efficient waste management and circular economy principles. In the context of GBNs, this translates to smart resource management in building design and operations, efficient infrastructure systems, and the development of closed-loop resource cycles within neighborhoods. The standard highlights that responsible resource use requires considering both immediate consumption patterns and long-term resource availability.</t>
  </si>
  <si>
    <t xml:space="preserve">Social cohesion</t>
  </si>
  <si>
    <t xml:space="preserve">focuses on creating equitable access to services, fostering dialogue across community boundaries, and supporting diversity and inclusion. For GBNs, this means developing neighborhoods that promote social integration, preserve cultural heritage, strengthen community identity, and reduce inequalities. The standard emphasizes accessibility, cultural dialogue, and the creation of shared experiences that build a sense of belonging and enhance social mobility. This purpose recognizes that sustainable communities require strong social bonds and mutual understanding across different demographic groups, combining both physical design elements and social programs that encourage interaction and solidarity among residents.</t>
  </si>
  <si>
    <t xml:space="preserve">Well-being</t>
  </si>
  <si>
    <t xml:space="preserve">encompasses access to opportunities for quality of life enhancement, including education and professional training, a healthy environment, and improved living conditions. For GBNs, this translates into creating spaces that promote physical and mental health, safety, and community confidence. The standard highlights that well-being depends on tangible factors like environmental quality and access to services, as well as intangible elements like trust-building and collective maturity. This purpose recognizes that sustainable communities must actively contribute to residents' happiness, health, and overall life satisfaction through thoughtful design and service provision.</t>
  </si>
  <si>
    <t xml:space="preserve">Sustainability issue</t>
  </si>
  <si>
    <t xml:space="preserve">Governance, empowerment and engagement</t>
  </si>
  <si>
    <t xml:space="preserve">defined as a systemic approach to engaging all interested parties in community decision-making and development. The standard emphasizes that governance models need to foster systematic stakeholder involvement at every level, from policy-making to project implementation. For GBNs, this means creating transparent structures that encourage participation, facilitate community input, and ensure accountability in the development and management of sustainable neighborhoods. The standard highlights this issue as fundamental to successful sustainable development, requiring clear roles, responsibilities, and mechanisms for inclusive decision-making.</t>
  </si>
  <si>
    <t xml:space="preserve">Education and capacity building</t>
  </si>
  <si>
    <t xml:space="preserve">is defined as an issue that focuses on raising awareness, knowledge and skills at all levels to contribute to sustainable development, smartness and resilience. The standard emphasizes that education and capacity building should help develop competencies across the community that enable better understanding and implementation of sustainability practices. For GBNs, this translates into developing training programs, knowledge sharing platforms, and skill development initiatives that strengthen the community's ability to implement and maintain sustainable practices in the built environment.</t>
  </si>
  <si>
    <t xml:space="preserve">Innovation, creativity and research</t>
  </si>
  <si>
    <t xml:space="preserve">focuses on developing new forms of cooperation and cutting-edge designs while balancing risk management and ethical considerations. For GBNs, this issue promotes innovative solutions through research and creative problem-solving, encouraging new approaches to sustainable development while ensuring proper consideration of outcomes and implications. The standard positions this as a key driver for developing novel solutions to community challenges while maintaining responsible implementation practices.</t>
  </si>
  <si>
    <t xml:space="preserve">Health and care in the community</t>
  </si>
  <si>
    <t xml:space="preserve">defined as a crucial element that maintains and improves both physical and mental health within the community, contributing to its well-being and resilience. The standard emphasizes the importance of healthcare accessibility, preventive practices, and the relationship between environmental quality and community health. For GBNs, this translates into designing spaces and services that promote healthy living, ensure equitable access to healthcare, and create environments that support both physical and mental wellness.</t>
  </si>
  <si>
    <t xml:space="preserve">Culture and community identity</t>
  </si>
  <si>
    <t xml:space="preserve">defined as preserving lifestyles, including intangible elements like practices, know-how, languages, spirituality, and customs, while allowing for the evolution of heritage and traditions. For GBNs, this means creating spaces that respect and enhance local cultural identity while remaining open to cultural development and change. The standard emphasizes that this issue is crucial for maintaining community distinctiveness while embracing sustainable development.</t>
  </si>
  <si>
    <t xml:space="preserve">Living together, interdependence and mutuality</t>
  </si>
  <si>
    <t xml:space="preserve">focuses on developing collective and collaborative lifestyles that produce mutual economic and social benefits. The standard emphasizes this issue's role in fostering inter-generational equity and social mobility through shared experiences and responsibilities. For GBNs, this translates into creating spaces and systems that encourage interaction, cooperation, and mutual support among community members while promoting inclusive social and economic development.</t>
  </si>
  <si>
    <t xml:space="preserve">Economy and sustainable production and consumption</t>
  </si>
  <si>
    <t xml:space="preserve">encompasses support for local production, consumption and exchange, promoting economic diversity, employment and employability. The standard emphasizes resource efficiency, life cycle approaches, and transparency as key factors. For GBNs, this means creating economic systems that support sustainable local businesses, encourage responsible consumption patterns, and provide diverse employment opportunities while considering environmental impacts throughout the production and consumption cycle.</t>
  </si>
  <si>
    <t xml:space="preserve">Living and working environment</t>
  </si>
  <si>
    <t xml:space="preserve">focuses on facilitating fair and equitable access to quality living and working conditions that meet stakeholder needs and expectations. For GBNs, this means creating spaces that balance environmental sustainability with quality of life, addressing issues like housing quality, workplace conditions, and access to amenities. The standard emphasizes this issue's importance in creating sustainable communities that support both residential well-being and economic activity.</t>
  </si>
  <si>
    <t xml:space="preserve">Safety and security</t>
  </si>
  <si>
    <t xml:space="preserve">addresses ensuring communities are considered safe, both internally by members and externally by outsiders. This includes enforcing the right to privacy, protecting public security, and preventing and managing risks within the community. Key aspects involve taking safety and security into account when planning land use, improving safety and preventing crime and violence for all, and enhancing the safety and welcoming nature of public spaces through policies. Assessing initiatives against this issue helps stakeholders understand how they are addressing safety, security and risk management for sustainable urban development.</t>
  </si>
  <si>
    <t xml:space="preserve">Biodiversity and ecosystem services</t>
  </si>
  <si>
    <t xml:space="preserve">focuses on the preservation and improvement of the local, regional and global environment, especially the protection, restoration and enhancement of biological diversity and ecosystem services. This includes maintaining the diversity of fauna, flora and genetic resources. Preserving biodiversity and ecosystem services is crucial to ensure safe and pleasant living conditions, and enhances the attractiveness of communities while strengthening their economic development. Key aspects involve assessing the loss of biodiversity and responding to related risks, as well as ensuring biodiversity and ecosystem services are considered major natural resources to be managed sustainably.</t>
  </si>
  <si>
    <t xml:space="preserve">Community smart infrastructures</t>
  </si>
  <si>
    <t xml:space="preserve">ensuring high-quality utilities and services that support sustainable community development. This includes urban water supply and wastewater treatment, waste collection and processing, energy production and distribution, and integration of digital communication networks. </t>
  </si>
  <si>
    <t xml:space="preserve">Mobility</t>
  </si>
  <si>
    <t xml:space="preserve">defined as the provision of safe, comfortable, comprehensive, dependable, efficient, accessible, affordable and appropriate mobility services for different age and special needs groups, particularly for persons with disabilities. This includes maintaining a reliable transport system, improving connectivity, encouraging non-motorized traffic like walking and cycling, and facilitating the transport of goods. </t>
  </si>
</sst>
</file>

<file path=xl/styles.xml><?xml version="1.0" encoding="utf-8"?>
<styleSheet xmlns="http://schemas.openxmlformats.org/spreadsheetml/2006/main">
  <numFmts count="4">
    <numFmt numFmtId="164" formatCode="General"/>
    <numFmt numFmtId="165" formatCode="m/d/yyyy"/>
    <numFmt numFmtId="166" formatCode="General"/>
    <numFmt numFmtId="167" formatCode="[BLUE]\ #,##0;&quot;  - &quot;#,##0\ ;\-"/>
  </numFmts>
  <fonts count="23">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8"/>
      <color rgb="FF808080"/>
      <name val="Calibri"/>
      <family val="2"/>
      <charset val="1"/>
    </font>
    <font>
      <sz val="8"/>
      <color rgb="FF000000"/>
      <name val="Calibri"/>
      <family val="2"/>
      <charset val="1"/>
    </font>
    <font>
      <b val="true"/>
      <u val="single"/>
      <sz val="11"/>
      <color rgb="FF000000"/>
      <name val="Calibri"/>
      <family val="2"/>
      <charset val="1"/>
    </font>
    <font>
      <u val="single"/>
      <sz val="11"/>
      <color rgb="FF000000"/>
      <name val="Calibri"/>
      <family val="2"/>
      <charset val="1"/>
    </font>
    <font>
      <i val="true"/>
      <sz val="11"/>
      <color rgb="FFBFBFBF"/>
      <name val="Calibri"/>
      <family val="2"/>
      <charset val="1"/>
    </font>
    <font>
      <sz val="9"/>
      <color rgb="FF000000"/>
      <name val="Calibri"/>
      <family val="2"/>
      <charset val="1"/>
    </font>
    <font>
      <b val="true"/>
      <sz val="11"/>
      <color rgb="FFA6A6A6"/>
      <name val="Calibri"/>
      <family val="2"/>
      <charset val="1"/>
    </font>
    <font>
      <sz val="11"/>
      <color rgb="FFA6A6A6"/>
      <name val="Calibri"/>
      <family val="2"/>
      <charset val="1"/>
    </font>
    <font>
      <b val="true"/>
      <sz val="12"/>
      <color rgb="FF000000"/>
      <name val="Calibri"/>
      <family val="2"/>
      <charset val="1"/>
    </font>
    <font>
      <sz val="8"/>
      <color rgb="FF000000"/>
      <name val="Lucida Sans Typewriter"/>
      <family val="3"/>
      <charset val="1"/>
    </font>
    <font>
      <b val="true"/>
      <sz val="10"/>
      <color rgb="FF000000"/>
      <name val="Calibri"/>
      <family val="2"/>
      <charset val="1"/>
    </font>
    <font>
      <sz val="10"/>
      <color rgb="FF000000"/>
      <name val="Times New Roman"/>
      <family val="1"/>
      <charset val="1"/>
    </font>
    <font>
      <sz val="10"/>
      <color rgb="FF000000"/>
      <name val="Calibri"/>
      <family val="2"/>
      <charset val="1"/>
    </font>
    <font>
      <i val="true"/>
      <sz val="10"/>
      <color rgb="FF000000"/>
      <name val="Calibri"/>
      <family val="2"/>
      <charset val="1"/>
    </font>
    <font>
      <b val="true"/>
      <sz val="14"/>
      <color rgb="FF000000"/>
      <name val="Calibri"/>
      <family val="2"/>
      <charset val="1"/>
    </font>
    <font>
      <b val="true"/>
      <sz val="11"/>
      <color rgb="FF000000"/>
      <name val="Arial"/>
      <family val="2"/>
      <charset val="1"/>
    </font>
    <font>
      <b val="true"/>
      <sz val="9"/>
      <color rgb="FF000000"/>
      <name val="Arial"/>
      <family val="2"/>
      <charset val="1"/>
    </font>
    <font>
      <sz val="9"/>
      <color rgb="FF000000"/>
      <name val="Arial"/>
      <family val="2"/>
      <charset val="1"/>
    </font>
  </fonts>
  <fills count="10">
    <fill>
      <patternFill patternType="none"/>
    </fill>
    <fill>
      <patternFill patternType="gray125"/>
    </fill>
    <fill>
      <patternFill patternType="solid">
        <fgColor rgb="FFFFFFD7"/>
        <bgColor rgb="FFFFF2CC"/>
      </patternFill>
    </fill>
    <fill>
      <patternFill patternType="solid">
        <fgColor rgb="FFE2EFD9"/>
        <bgColor rgb="FFE2F0D9"/>
      </patternFill>
    </fill>
    <fill>
      <patternFill patternType="solid">
        <fgColor rgb="FFA8D08D"/>
        <bgColor rgb="FFC5E0B4"/>
      </patternFill>
    </fill>
    <fill>
      <patternFill patternType="solid">
        <fgColor rgb="FF538135"/>
        <bgColor rgb="FF808000"/>
      </patternFill>
    </fill>
    <fill>
      <patternFill patternType="solid">
        <fgColor rgb="FFF2F2F2"/>
        <bgColor rgb="FFE7E6E6"/>
      </patternFill>
    </fill>
    <fill>
      <patternFill patternType="solid">
        <fgColor rgb="FFFFF2CC"/>
        <bgColor rgb="FFFFFFD7"/>
      </patternFill>
    </fill>
    <fill>
      <patternFill patternType="solid">
        <fgColor rgb="FFE7E6E6"/>
        <bgColor rgb="FFE2EFD9"/>
      </patternFill>
    </fill>
    <fill>
      <patternFill patternType="solid">
        <fgColor rgb="FFFFFFFF"/>
        <bgColor rgb="FFF2F2F2"/>
      </patternFill>
    </fill>
  </fills>
  <borders count="19">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right style="medium"/>
      <top/>
      <bottom style="medium"/>
      <diagonal/>
    </border>
    <border diagonalUp="false" diagonalDown="false">
      <left style="medium"/>
      <right style="medium"/>
      <top/>
      <bottom style="medium"/>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808080"/>
      </left>
      <right style="thin">
        <color rgb="FF808080"/>
      </right>
      <top style="thin">
        <color rgb="FF808080"/>
      </top>
      <bottom/>
      <diagonal/>
    </border>
    <border diagonalUp="false" diagonalDown="false">
      <left style="thin"/>
      <right/>
      <top style="thin"/>
      <bottom style="thin"/>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top style="medium"/>
      <bottom/>
      <diagonal/>
    </border>
    <border diagonalUp="false" diagonalDown="false">
      <left style="medium">
        <color rgb="FF808080"/>
      </left>
      <right style="medium">
        <color rgb="FF808080"/>
      </right>
      <top style="medium">
        <color rgb="FF808080"/>
      </top>
      <bottom style="medium">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1" shrinkToFit="false"/>
      <protection locked="true" hidden="false"/>
    </xf>
    <xf numFmtId="164" fontId="0" fillId="2" borderId="1" xfId="0" applyFont="false" applyBorder="true" applyAlignment="true" applyProtection="false">
      <alignment horizontal="left" vertical="top"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0" fillId="3" borderId="2" xfId="0" applyFont="true" applyBorder="true" applyAlignment="true" applyProtection="false">
      <alignment horizontal="center" vertical="center" textRotation="0" wrapText="true" indent="0" shrinkToFit="false"/>
      <protection locked="true" hidden="false"/>
    </xf>
    <xf numFmtId="164" fontId="0" fillId="4" borderId="2" xfId="0" applyFont="true" applyBorder="true" applyAlignment="true" applyProtection="false">
      <alignment horizontal="center"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0" fillId="6" borderId="3" xfId="0" applyFont="true" applyBorder="true" applyAlignment="true" applyProtection="false">
      <alignment horizontal="center" vertical="center" textRotation="0" wrapText="true" indent="0" shrinkToFit="false"/>
      <protection locked="true" hidden="false"/>
    </xf>
    <xf numFmtId="164" fontId="10" fillId="0" borderId="3" xfId="0" applyFont="true" applyBorder="true" applyAlignment="true" applyProtection="false">
      <alignment horizontal="center" vertical="center" textRotation="0" wrapText="true" indent="0" shrinkToFit="false"/>
      <protection locked="true" hidden="false"/>
    </xf>
    <xf numFmtId="165" fontId="0" fillId="2" borderId="1" xfId="0" applyFont="false" applyBorder="true" applyAlignment="true" applyProtection="false">
      <alignment horizontal="left" vertical="top" textRotation="0" wrapText="false" indent="0" shrinkToFit="false"/>
      <protection locked="true" hidden="false"/>
    </xf>
    <xf numFmtId="166" fontId="10" fillId="0" borderId="4" xfId="0" applyFont="true" applyBorder="true" applyAlignment="true" applyProtection="false">
      <alignment horizontal="center" vertical="center" textRotation="0" wrapText="true" indent="0" shrinkToFit="false"/>
      <protection locked="true" hidden="false"/>
    </xf>
    <xf numFmtId="167" fontId="0" fillId="6" borderId="3" xfId="0" applyFont="false" applyBorder="true" applyAlignment="true" applyProtection="false">
      <alignment horizontal="center" vertical="center" textRotation="0" wrapText="true" indent="0" shrinkToFit="false"/>
      <protection locked="true" hidden="false"/>
    </xf>
    <xf numFmtId="167" fontId="0" fillId="0" borderId="3" xfId="0" applyFont="fals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bottom" textRotation="0" wrapText="false" indent="1" shrinkToFit="false"/>
      <protection locked="true" hidden="false"/>
    </xf>
    <xf numFmtId="164" fontId="7" fillId="0" borderId="1" xfId="0" applyFont="true" applyBorder="true" applyAlignment="true" applyProtection="false">
      <alignment horizontal="right" vertical="top" textRotation="0" wrapText="false" indent="1" shrinkToFit="false"/>
      <protection locked="true" hidden="false"/>
    </xf>
    <xf numFmtId="164" fontId="8" fillId="0" borderId="0" xfId="0" applyFont="true" applyBorder="false" applyAlignment="true" applyProtection="false">
      <alignment horizontal="right" vertical="bottom" textRotation="0" wrapText="false" indent="1" shrinkToFit="false"/>
      <protection locked="true" hidden="false"/>
    </xf>
    <xf numFmtId="164" fontId="11" fillId="0" borderId="0" xfId="0" applyFont="true" applyBorder="false" applyAlignment="true" applyProtection="false">
      <alignment horizontal="right" vertical="bottom" textRotation="0" wrapText="false" indent="1"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13" fillId="0" borderId="0" xfId="0" applyFont="true" applyBorder="fals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5" xfId="0" applyFont="true" applyBorder="true" applyAlignment="true" applyProtection="false">
      <alignment horizontal="center" vertical="bottom" textRotation="0" wrapText="true" indent="0" shrinkToFit="false"/>
      <protection locked="true" hidden="false"/>
    </xf>
    <xf numFmtId="164" fontId="4" fillId="0" borderId="6" xfId="0" applyFont="true" applyBorder="true" applyAlignment="true" applyProtection="false">
      <alignment horizontal="left" vertical="top" textRotation="0" wrapText="false" indent="0" shrinkToFit="false"/>
      <protection locked="true" hidden="false"/>
    </xf>
    <xf numFmtId="164" fontId="0" fillId="0" borderId="7" xfId="0" applyFont="true" applyBorder="true" applyAlignment="true" applyProtection="false">
      <alignment horizontal="left" vertical="top" textRotation="0" wrapText="true" indent="0" shrinkToFit="false"/>
      <protection locked="true" hidden="false"/>
    </xf>
    <xf numFmtId="164" fontId="4" fillId="0" borderId="8" xfId="0" applyFont="true" applyBorder="true" applyAlignment="true" applyProtection="false">
      <alignment horizontal="left" vertical="top" textRotation="0" wrapText="false" indent="0" shrinkToFit="false"/>
      <protection locked="true" hidden="false"/>
    </xf>
    <xf numFmtId="164" fontId="0" fillId="0" borderId="9" xfId="0" applyFont="true" applyBorder="true" applyAlignment="true" applyProtection="false">
      <alignment horizontal="left" vertical="top" textRotation="0" wrapText="true" indent="0" shrinkToFit="false"/>
      <protection locked="true" hidden="false"/>
    </xf>
    <xf numFmtId="164" fontId="0" fillId="7" borderId="9" xfId="0" applyFont="true" applyBorder="true" applyAlignment="true" applyProtection="false">
      <alignment horizontal="left" vertical="top" textRotation="0" wrapText="true" indent="0" shrinkToFit="false"/>
      <protection locked="true" hidden="false"/>
    </xf>
    <xf numFmtId="164" fontId="4" fillId="0" borderId="10" xfId="0" applyFont="true" applyBorder="true" applyAlignment="true" applyProtection="false">
      <alignment horizontal="left" vertical="top" textRotation="0" wrapText="false" indent="0" shrinkToFit="false"/>
      <protection locked="true" hidden="false"/>
    </xf>
    <xf numFmtId="164" fontId="0" fillId="0" borderId="11" xfId="0" applyFont="true" applyBorder="true" applyAlignment="true" applyProtection="false">
      <alignment horizontal="left" vertical="top" textRotation="0" wrapText="true" indent="0" shrinkToFit="false"/>
      <protection locked="true" hidden="false"/>
    </xf>
    <xf numFmtId="164" fontId="7" fillId="0" borderId="5" xfId="0" applyFont="true" applyBorder="true" applyAlignment="true" applyProtection="false">
      <alignment horizontal="center" vertical="center" textRotation="0" wrapText="true" indent="0" shrinkToFit="false"/>
      <protection locked="true" hidden="false"/>
    </xf>
    <xf numFmtId="164" fontId="0" fillId="0" borderId="7" xfId="0" applyFont="true" applyBorder="true" applyAlignment="true" applyProtection="false">
      <alignment horizontal="left" vertical="bottom" textRotation="0" wrapText="true" indent="0" shrinkToFit="false"/>
      <protection locked="true" hidden="false"/>
    </xf>
    <xf numFmtId="164" fontId="0" fillId="0" borderId="9" xfId="0" applyFont="true" applyBorder="true" applyAlignment="true" applyProtection="false">
      <alignment horizontal="left" vertical="bottom" textRotation="0" wrapText="true" indent="0" shrinkToFit="false"/>
      <protection locked="true" hidden="false"/>
    </xf>
    <xf numFmtId="164" fontId="0" fillId="0" borderId="11" xfId="0" applyFont="true" applyBorder="true" applyAlignment="true" applyProtection="false">
      <alignment horizontal="left" vertical="bottom" textRotation="0" wrapText="true" indent="0" shrinkToFit="false"/>
      <protection locked="true" hidden="false"/>
    </xf>
    <xf numFmtId="164" fontId="4" fillId="0" borderId="12" xfId="0" applyFont="true" applyBorder="true" applyAlignment="true" applyProtection="false">
      <alignment horizontal="left" vertical="top" textRotation="0" wrapText="tru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left" vertical="top" textRotation="0" wrapText="true" indent="0" shrinkToFit="false"/>
      <protection locked="true" hidden="false"/>
    </xf>
    <xf numFmtId="164" fontId="4" fillId="0" borderId="14" xfId="0" applyFont="true" applyBorder="true" applyAlignment="true" applyProtection="false">
      <alignment horizontal="right" vertical="bottom" textRotation="0" wrapText="fals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right" vertical="top" textRotation="0" wrapText="true" indent="0" shrinkToFit="false"/>
      <protection locked="true" hidden="false"/>
    </xf>
    <xf numFmtId="164" fontId="0" fillId="0" borderId="13" xfId="0" applyFont="false" applyBorder="true" applyAlignment="true" applyProtection="false">
      <alignment horizontal="left" vertical="top" textRotation="0" wrapText="true" indent="0" shrinkToFit="false"/>
      <protection locked="true" hidden="false"/>
    </xf>
    <xf numFmtId="164" fontId="4" fillId="0" borderId="12" xfId="0" applyFont="true" applyBorder="true" applyAlignment="true" applyProtection="false">
      <alignment horizontal="center" vertical="top" textRotation="0" wrapText="true" indent="0" shrinkToFit="false"/>
      <protection locked="true" hidden="false"/>
    </xf>
    <xf numFmtId="164" fontId="14" fillId="0" borderId="12" xfId="0" applyFont="true" applyBorder="true" applyAlignment="true" applyProtection="false">
      <alignment horizontal="center" vertical="center" textRotation="0" wrapText="true" indent="0" shrinkToFit="false"/>
      <protection locked="true" hidden="false"/>
    </xf>
    <xf numFmtId="164" fontId="14" fillId="2" borderId="12" xfId="0" applyFont="true" applyBorder="true" applyAlignment="true" applyProtection="false">
      <alignment horizontal="center" vertical="center" textRotation="0" wrapText="true" indent="0" shrinkToFit="false"/>
      <protection locked="true" hidden="false"/>
    </xf>
    <xf numFmtId="164" fontId="14" fillId="2" borderId="12" xfId="0" applyFont="true" applyBorder="true" applyAlignment="true" applyProtection="false">
      <alignment horizontal="general" vertical="center" textRotation="0" wrapText="true" indent="0" shrinkToFit="false"/>
      <protection locked="true" hidden="false"/>
    </xf>
    <xf numFmtId="164" fontId="4" fillId="0" borderId="2" xfId="0" applyFont="true" applyBorder="true" applyAlignment="true" applyProtection="false">
      <alignment horizontal="center" vertical="center" textRotation="90" wrapText="false" indent="0" shrinkToFit="false"/>
      <protection locked="true" hidden="false"/>
    </xf>
    <xf numFmtId="164" fontId="4" fillId="0" borderId="15" xfId="0" applyFont="true" applyBorder="true" applyAlignment="true" applyProtection="false">
      <alignment horizontal="center" vertical="top" textRotation="0" wrapText="true" indent="0" shrinkToFit="false"/>
      <protection locked="true" hidden="false"/>
    </xf>
    <xf numFmtId="164" fontId="4" fillId="0" borderId="15" xfId="0" applyFont="true" applyBorder="true" applyAlignment="true" applyProtection="false">
      <alignment horizontal="center" vertical="center" textRotation="0" wrapText="true" indent="0" shrinkToFit="false"/>
      <protection locked="true" hidden="false"/>
    </xf>
    <xf numFmtId="164" fontId="15" fillId="0" borderId="16" xfId="0" applyFont="true" applyBorder="true" applyAlignment="true" applyProtection="false">
      <alignment horizontal="left" vertical="center" textRotation="0" wrapText="true" indent="0" shrinkToFit="false"/>
      <protection locked="true" hidden="false"/>
    </xf>
    <xf numFmtId="164" fontId="15" fillId="0" borderId="16" xfId="0" applyFont="true" applyBorder="true" applyAlignment="true" applyProtection="false">
      <alignment horizontal="left" vertical="top" textRotation="0" wrapText="true" indent="0" shrinkToFit="false"/>
      <protection locked="true" hidden="false"/>
    </xf>
    <xf numFmtId="164" fontId="15" fillId="0" borderId="4" xfId="0" applyFont="true" applyBorder="true" applyAlignment="true" applyProtection="false">
      <alignment horizontal="left" vertical="center" textRotation="0" wrapText="true" indent="0" shrinkToFit="false"/>
      <protection locked="true" hidden="false"/>
    </xf>
    <xf numFmtId="164" fontId="15" fillId="0" borderId="4" xfId="0" applyFont="true" applyBorder="true" applyAlignment="true" applyProtection="false">
      <alignment horizontal="left" vertical="top" textRotation="0" wrapText="true" indent="0" shrinkToFit="false"/>
      <protection locked="true" hidden="false"/>
    </xf>
    <xf numFmtId="164" fontId="0" fillId="0" borderId="2" xfId="0" applyFont="fals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8" fillId="0" borderId="17"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20"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1" fillId="9" borderId="18" xfId="0" applyFont="true" applyBorder="true" applyAlignment="true" applyProtection="false">
      <alignment horizontal="center" vertical="center" textRotation="0" wrapText="true" indent="0" shrinkToFit="false"/>
      <protection locked="true" hidden="false"/>
    </xf>
    <xf numFmtId="164" fontId="22" fillId="9" borderId="18"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1" fillId="8"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
      <font>
        <name val="Calibri"/>
        <charset val="1"/>
        <family val="2"/>
        <b val="1"/>
        <i val="0"/>
        <color rgb="FF000000"/>
        <sz val="11"/>
      </font>
      <fill>
        <patternFill>
          <bgColor rgb="FFE2F0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D7"/>
      <rgbColor rgb="FFE2EFD9"/>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F2F2F2"/>
      <rgbColor rgb="FFE2F0D9"/>
      <rgbColor rgb="FFFFF2CC"/>
      <rgbColor rgb="FFC5E0B4"/>
      <rgbColor rgb="FFE7E6E6"/>
      <rgbColor rgb="FFCC99FF"/>
      <rgbColor rgb="FFF8CBAD"/>
      <rgbColor rgb="FF3366FF"/>
      <rgbColor rgb="FF33CCCC"/>
      <rgbColor rgb="FFA8D08D"/>
      <rgbColor rgb="FFFFCC00"/>
      <rgbColor rgb="FFFF9900"/>
      <rgbColor rgb="FFFF6600"/>
      <rgbColor rgb="FF666699"/>
      <rgbColor rgb="FFA6A6A6"/>
      <rgbColor rgb="FF003366"/>
      <rgbColor rgb="FF53813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380880</xdr:colOff>
      <xdr:row>0</xdr:row>
      <xdr:rowOff>123840</xdr:rowOff>
    </xdr:from>
    <xdr:to>
      <xdr:col>9</xdr:col>
      <xdr:colOff>464760</xdr:colOff>
      <xdr:row>11</xdr:row>
      <xdr:rowOff>19080</xdr:rowOff>
    </xdr:to>
    <xdr:pic>
      <xdr:nvPicPr>
        <xdr:cNvPr id="0" name="Picture 60" descr=""/>
        <xdr:cNvPicPr/>
      </xdr:nvPicPr>
      <xdr:blipFill>
        <a:blip r:embed="rId1"/>
        <a:stretch/>
      </xdr:blipFill>
      <xdr:spPr>
        <a:xfrm>
          <a:off x="4219920" y="123840"/>
          <a:ext cx="3776040" cy="2819520"/>
        </a:xfrm>
        <a:prstGeom prst="rect">
          <a:avLst/>
        </a:prstGeom>
        <a:ln w="0">
          <a:noFill/>
        </a:ln>
        <a:effectLst>
          <a:outerShdw algn="tl" blurRad="291960" dir="2700000" dist="138479" rotWithShape="0">
            <a:srgbClr val="333333">
              <a:alpha val="65000"/>
            </a:srgbClr>
          </a:outerShdw>
        </a:effectLst>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0000"/>
    <pageSetUpPr fitToPage="true"/>
  </sheetPr>
  <dimension ref="B2:W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5" activeCellId="0" sqref="C25"/>
    </sheetView>
  </sheetViews>
  <sheetFormatPr defaultColWidth="8.9140625" defaultRowHeight="13.8" zeroHeight="false" outlineLevelRow="0" outlineLevelCol="0"/>
  <cols>
    <col collapsed="false" customWidth="true" hidden="false" outlineLevel="0" max="1" min="1" style="0" width="3.3"/>
    <col collapsed="false" customWidth="true" hidden="false" outlineLevel="0" max="2" min="2" style="0" width="20.71"/>
    <col collapsed="false" customWidth="true" hidden="false" outlineLevel="0" max="3" min="3" style="1" width="25.29"/>
    <col collapsed="false" customWidth="true" hidden="false" outlineLevel="0" max="4" min="4" style="0" width="3.3"/>
    <col collapsed="false" customWidth="true" hidden="false" outlineLevel="0" max="5" min="5" style="0" width="2.14"/>
    <col collapsed="false" customWidth="true" hidden="false" outlineLevel="0" max="6" min="6" style="0" width="25.57"/>
    <col collapsed="false" customWidth="true" hidden="false" outlineLevel="0" max="18" min="7" style="0" width="8.29"/>
    <col collapsed="false" customWidth="true" hidden="false" outlineLevel="0" max="19" min="19" style="0" width="2.14"/>
    <col collapsed="false" customWidth="true" hidden="false" outlineLevel="0" max="20" min="20" style="0" width="12.1"/>
    <col collapsed="false" customWidth="true" hidden="false" outlineLevel="0" max="21" min="21" style="2" width="15.28"/>
    <col collapsed="false" customWidth="false" hidden="false" outlineLevel="0" max="22" min="22" style="2" width="8.89"/>
  </cols>
  <sheetData>
    <row r="2" customFormat="false" ht="13.8" hidden="false" customHeight="false" outlineLevel="0" collapsed="false">
      <c r="B2" s="3" t="s">
        <v>0</v>
      </c>
      <c r="C2" s="3"/>
      <c r="F2" s="4"/>
      <c r="G2" s="4"/>
      <c r="H2" s="4"/>
      <c r="I2" s="4"/>
      <c r="J2" s="4"/>
      <c r="K2" s="4"/>
      <c r="L2" s="4"/>
      <c r="M2" s="4"/>
      <c r="N2" s="4"/>
      <c r="O2" s="4"/>
      <c r="P2" s="4"/>
      <c r="Q2" s="4"/>
      <c r="R2" s="4"/>
    </row>
    <row r="3" customFormat="false" ht="7.5" hidden="false" customHeight="true" outlineLevel="0" collapsed="false">
      <c r="B3" s="5"/>
      <c r="C3" s="5"/>
    </row>
    <row r="4" customFormat="false" ht="13.8" hidden="false" customHeight="false" outlineLevel="0" collapsed="false">
      <c r="B4" s="6" t="s">
        <v>1</v>
      </c>
      <c r="C4" s="5"/>
    </row>
    <row r="5" customFormat="false" ht="7.5" hidden="false" customHeight="true" outlineLevel="0" collapsed="false">
      <c r="B5" s="7"/>
      <c r="C5" s="5"/>
    </row>
    <row r="6" customFormat="false" ht="50.25" hidden="false" customHeight="true" outlineLevel="0" collapsed="false">
      <c r="B6" s="8" t="s">
        <v>2</v>
      </c>
      <c r="C6" s="9"/>
      <c r="F6" s="10" t="s">
        <v>3</v>
      </c>
      <c r="G6" s="11" t="s">
        <v>4</v>
      </c>
      <c r="H6" s="11"/>
      <c r="I6" s="11"/>
      <c r="J6" s="11"/>
      <c r="K6" s="11"/>
      <c r="L6" s="11"/>
      <c r="M6" s="11"/>
      <c r="N6" s="11"/>
      <c r="O6" s="11"/>
      <c r="P6" s="11"/>
      <c r="Q6" s="11"/>
      <c r="R6" s="11"/>
    </row>
    <row r="7" customFormat="false" ht="13.8" hidden="false" customHeight="false" outlineLevel="0" collapsed="false">
      <c r="B7" s="12"/>
      <c r="C7" s="13"/>
    </row>
    <row r="8" customFormat="false" ht="13.8" hidden="false" customHeight="true" outlineLevel="0" collapsed="false">
      <c r="B8" s="14" t="s">
        <v>5</v>
      </c>
      <c r="C8" s="15"/>
      <c r="F8" s="16" t="s">
        <v>6</v>
      </c>
      <c r="G8" s="17" t="s">
        <v>7</v>
      </c>
      <c r="H8" s="17"/>
      <c r="I8" s="18" t="s">
        <v>8</v>
      </c>
      <c r="J8" s="18"/>
      <c r="K8" s="19" t="s">
        <v>9</v>
      </c>
      <c r="L8" s="19"/>
      <c r="M8" s="19" t="s">
        <v>10</v>
      </c>
      <c r="N8" s="19"/>
      <c r="O8" s="17" t="s">
        <v>11</v>
      </c>
      <c r="P8" s="17"/>
      <c r="Q8" s="17" t="s">
        <v>12</v>
      </c>
      <c r="R8" s="17"/>
      <c r="T8" s="20" t="s">
        <v>13</v>
      </c>
      <c r="U8" s="21" t="s">
        <v>14</v>
      </c>
      <c r="V8" s="21" t="s">
        <v>2</v>
      </c>
      <c r="W8" s="20" t="s">
        <v>15</v>
      </c>
    </row>
    <row r="9" customFormat="false" ht="13.8" hidden="false" customHeight="false" outlineLevel="0" collapsed="false">
      <c r="B9" s="14" t="s">
        <v>16</v>
      </c>
      <c r="C9" s="15"/>
      <c r="F9" s="16"/>
      <c r="G9" s="22" t="s">
        <v>17</v>
      </c>
      <c r="H9" s="22" t="s">
        <v>18</v>
      </c>
      <c r="I9" s="23" t="s">
        <v>17</v>
      </c>
      <c r="J9" s="23" t="s">
        <v>18</v>
      </c>
      <c r="K9" s="22" t="s">
        <v>17</v>
      </c>
      <c r="L9" s="22" t="s">
        <v>18</v>
      </c>
      <c r="M9" s="23" t="s">
        <v>17</v>
      </c>
      <c r="N9" s="23" t="s">
        <v>18</v>
      </c>
      <c r="O9" s="22" t="s">
        <v>17</v>
      </c>
      <c r="P9" s="22" t="s">
        <v>18</v>
      </c>
      <c r="Q9" s="23" t="s">
        <v>17</v>
      </c>
      <c r="R9" s="23" t="s">
        <v>18</v>
      </c>
    </row>
    <row r="10" customFormat="false" ht="13.8" hidden="false" customHeight="false" outlineLevel="0" collapsed="false">
      <c r="B10" s="14" t="s">
        <v>19</v>
      </c>
      <c r="C10" s="24"/>
      <c r="F10" s="25" t="str">
        <f aca="false">LEFT(Definitions!B12,25)&amp;"…"</f>
        <v>Governance, empowerment a…</v>
      </c>
      <c r="G10" s="26"/>
      <c r="H10" s="26"/>
      <c r="I10" s="27"/>
      <c r="J10" s="27"/>
      <c r="K10" s="26"/>
      <c r="L10" s="26"/>
      <c r="M10" s="27"/>
      <c r="N10" s="27"/>
      <c r="O10" s="26"/>
      <c r="P10" s="26"/>
      <c r="Q10" s="27"/>
      <c r="R10" s="27"/>
    </row>
    <row r="11" customFormat="false" ht="13.8" hidden="false" customHeight="false" outlineLevel="0" collapsed="false">
      <c r="B11" s="28"/>
      <c r="C11" s="13"/>
      <c r="F11" s="25" t="str">
        <f aca="false">LEFT(Definitions!B13,25)&amp;"…"</f>
        <v>Education and capacity bu…</v>
      </c>
      <c r="G11" s="26"/>
      <c r="H11" s="26"/>
      <c r="I11" s="27"/>
      <c r="J11" s="27"/>
      <c r="K11" s="26"/>
      <c r="L11" s="26"/>
      <c r="M11" s="27"/>
      <c r="N11" s="27"/>
      <c r="O11" s="26"/>
      <c r="P11" s="26"/>
      <c r="Q11" s="27"/>
      <c r="R11" s="27"/>
    </row>
    <row r="12" customFormat="false" ht="13.8" hidden="false" customHeight="false" outlineLevel="0" collapsed="false">
      <c r="B12" s="29" t="s">
        <v>20</v>
      </c>
      <c r="C12" s="15"/>
      <c r="F12" s="25" t="str">
        <f aca="false">LEFT(Definitions!B14,25)&amp;"…"</f>
        <v>Innovation, creativity an…</v>
      </c>
      <c r="G12" s="26"/>
      <c r="H12" s="26"/>
      <c r="I12" s="27"/>
      <c r="J12" s="27"/>
      <c r="K12" s="26"/>
      <c r="L12" s="26"/>
      <c r="M12" s="27"/>
      <c r="N12" s="27"/>
      <c r="O12" s="26"/>
      <c r="P12" s="26"/>
      <c r="Q12" s="27"/>
      <c r="R12" s="27"/>
    </row>
    <row r="13" customFormat="false" ht="13.8" hidden="false" customHeight="false" outlineLevel="0" collapsed="false">
      <c r="B13" s="29"/>
      <c r="C13" s="15"/>
      <c r="F13" s="25" t="str">
        <f aca="false">LEFT(Definitions!B15,25)&amp;"…"</f>
        <v>Health and care in the co…</v>
      </c>
      <c r="G13" s="26"/>
      <c r="H13" s="26"/>
      <c r="I13" s="27"/>
      <c r="J13" s="27"/>
      <c r="K13" s="26"/>
      <c r="L13" s="26"/>
      <c r="M13" s="27"/>
      <c r="N13" s="27"/>
      <c r="O13" s="26"/>
      <c r="P13" s="26"/>
      <c r="Q13" s="27"/>
      <c r="R13" s="27"/>
    </row>
    <row r="14" customFormat="false" ht="13.8" hidden="false" customHeight="false" outlineLevel="0" collapsed="false">
      <c r="B14" s="29"/>
      <c r="C14" s="15"/>
      <c r="F14" s="25" t="str">
        <f aca="false">LEFT(Definitions!B16,25)&amp;"…"</f>
        <v>Culture and community ide…</v>
      </c>
      <c r="G14" s="26"/>
      <c r="H14" s="26"/>
      <c r="I14" s="27"/>
      <c r="J14" s="27"/>
      <c r="K14" s="26"/>
      <c r="L14" s="26"/>
      <c r="M14" s="27"/>
      <c r="N14" s="27"/>
      <c r="O14" s="26"/>
      <c r="P14" s="26"/>
      <c r="Q14" s="27"/>
      <c r="R14" s="27"/>
    </row>
    <row r="15" customFormat="false" ht="13.8" hidden="false" customHeight="false" outlineLevel="0" collapsed="false">
      <c r="B15" s="28"/>
      <c r="C15" s="13"/>
      <c r="F15" s="25" t="str">
        <f aca="false">LEFT(Definitions!B17,25)&amp;"…"</f>
        <v>Living together, interdep…</v>
      </c>
      <c r="G15" s="26"/>
      <c r="H15" s="26"/>
      <c r="I15" s="27"/>
      <c r="J15" s="27"/>
      <c r="K15" s="26"/>
      <c r="L15" s="26"/>
      <c r="M15" s="27"/>
      <c r="N15" s="27"/>
      <c r="O15" s="26"/>
      <c r="P15" s="26"/>
      <c r="Q15" s="27"/>
      <c r="R15" s="27"/>
    </row>
    <row r="16" customFormat="false" ht="13.8" hidden="false" customHeight="false" outlineLevel="0" collapsed="false">
      <c r="B16" s="29" t="s">
        <v>21</v>
      </c>
      <c r="C16" s="15"/>
      <c r="F16" s="25" t="str">
        <f aca="false">LEFT(Definitions!B18,25)&amp;"…"</f>
        <v>Economy and sustainable p…</v>
      </c>
      <c r="G16" s="26"/>
      <c r="H16" s="26"/>
      <c r="I16" s="27"/>
      <c r="J16" s="27"/>
      <c r="K16" s="26"/>
      <c r="L16" s="26"/>
      <c r="M16" s="27"/>
      <c r="N16" s="27"/>
      <c r="O16" s="26"/>
      <c r="P16" s="26"/>
      <c r="Q16" s="27"/>
      <c r="R16" s="27"/>
    </row>
    <row r="17" customFormat="false" ht="13.8" hidden="false" customHeight="false" outlineLevel="0" collapsed="false">
      <c r="B17" s="29"/>
      <c r="C17" s="15"/>
      <c r="F17" s="25" t="str">
        <f aca="false">LEFT(Definitions!B19,25)&amp;"…"</f>
        <v>Living and working enviro…</v>
      </c>
      <c r="G17" s="26"/>
      <c r="H17" s="26"/>
      <c r="I17" s="27"/>
      <c r="J17" s="27"/>
      <c r="K17" s="26"/>
      <c r="L17" s="26"/>
      <c r="M17" s="27"/>
      <c r="N17" s="27" t="n">
        <v>5</v>
      </c>
      <c r="O17" s="26"/>
      <c r="P17" s="26"/>
      <c r="Q17" s="27"/>
      <c r="R17" s="27"/>
    </row>
    <row r="18" customFormat="false" ht="13.8" hidden="false" customHeight="false" outlineLevel="0" collapsed="false">
      <c r="B18" s="29"/>
      <c r="C18" s="15"/>
      <c r="F18" s="25" t="str">
        <f aca="false">LEFT(Definitions!B20,25)&amp;"…"</f>
        <v>Safety and security…</v>
      </c>
      <c r="G18" s="26"/>
      <c r="H18" s="26"/>
      <c r="I18" s="27"/>
      <c r="J18" s="27"/>
      <c r="K18" s="26"/>
      <c r="L18" s="26"/>
      <c r="M18" s="27"/>
      <c r="N18" s="27" t="n">
        <v>1</v>
      </c>
      <c r="O18" s="26"/>
      <c r="P18" s="26"/>
      <c r="Q18" s="27"/>
      <c r="R18" s="27"/>
    </row>
    <row r="19" customFormat="false" ht="13.8" hidden="false" customHeight="false" outlineLevel="0" collapsed="false">
      <c r="B19" s="30"/>
      <c r="C19" s="13"/>
      <c r="F19" s="25" t="str">
        <f aca="false">LEFT(Definitions!B21,25)&amp;"…"</f>
        <v>Biodiversity and ecosyste…</v>
      </c>
      <c r="G19" s="26"/>
      <c r="H19" s="26"/>
      <c r="I19" s="27"/>
      <c r="J19" s="27"/>
      <c r="K19" s="26"/>
      <c r="L19" s="26"/>
      <c r="M19" s="27"/>
      <c r="N19" s="27" t="n">
        <v>2</v>
      </c>
      <c r="O19" s="26"/>
      <c r="P19" s="26"/>
      <c r="Q19" s="27"/>
      <c r="R19" s="27"/>
    </row>
    <row r="20" customFormat="false" ht="13.8" hidden="false" customHeight="false" outlineLevel="0" collapsed="false">
      <c r="B20" s="29" t="s">
        <v>22</v>
      </c>
      <c r="C20" s="15"/>
      <c r="F20" s="25" t="str">
        <f aca="false">LEFT(Definitions!B22,25)&amp;"…"</f>
        <v>Community smart infrastru…</v>
      </c>
      <c r="G20" s="26"/>
      <c r="H20" s="26"/>
      <c r="I20" s="27"/>
      <c r="J20" s="27"/>
      <c r="K20" s="26"/>
      <c r="L20" s="26"/>
      <c r="M20" s="27"/>
      <c r="N20" s="27" t="n">
        <v>3</v>
      </c>
      <c r="O20" s="26"/>
      <c r="P20" s="26"/>
      <c r="Q20" s="27"/>
      <c r="R20" s="27"/>
    </row>
    <row r="21" customFormat="false" ht="13.8" hidden="false" customHeight="false" outlineLevel="0" collapsed="false">
      <c r="B21" s="29"/>
      <c r="C21" s="15"/>
      <c r="F21" s="25" t="str">
        <f aca="false">LEFT(Definitions!B23,25)&amp;"…"</f>
        <v>Mobility…</v>
      </c>
      <c r="G21" s="26"/>
      <c r="H21" s="26"/>
      <c r="I21" s="27"/>
      <c r="J21" s="27"/>
      <c r="K21" s="26"/>
      <c r="L21" s="26"/>
      <c r="M21" s="27"/>
      <c r="N21" s="27"/>
      <c r="O21" s="26"/>
      <c r="P21" s="26"/>
      <c r="Q21" s="27"/>
      <c r="R21" s="27"/>
    </row>
    <row r="22" customFormat="false" ht="13.8" hidden="false" customHeight="false" outlineLevel="0" collapsed="false">
      <c r="B22" s="29"/>
      <c r="C22" s="15"/>
    </row>
    <row r="23" customFormat="false" ht="13.5" hidden="false" customHeight="true" outlineLevel="0" collapsed="false"/>
    <row r="24" customFormat="false" ht="15.75" hidden="false" customHeight="true" outlineLevel="0" collapsed="false">
      <c r="B24" s="31" t="s">
        <v>23</v>
      </c>
      <c r="C24" s="32" t="s">
        <v>24</v>
      </c>
      <c r="F24" s="16" t="s">
        <v>25</v>
      </c>
      <c r="G24" s="17" t="s">
        <v>7</v>
      </c>
      <c r="H24" s="17"/>
      <c r="I24" s="18" t="s">
        <v>8</v>
      </c>
      <c r="J24" s="18"/>
      <c r="K24" s="19" t="s">
        <v>9</v>
      </c>
      <c r="L24" s="19"/>
      <c r="M24" s="19" t="s">
        <v>10</v>
      </c>
      <c r="N24" s="19"/>
      <c r="O24" s="17" t="s">
        <v>11</v>
      </c>
      <c r="P24" s="17"/>
      <c r="Q24" s="17" t="s">
        <v>12</v>
      </c>
      <c r="R24" s="17"/>
    </row>
    <row r="25" customFormat="false" ht="13.8" hidden="false" customHeight="false" outlineLevel="0" collapsed="false">
      <c r="F25" s="16"/>
      <c r="G25" s="22" t="s">
        <v>17</v>
      </c>
      <c r="H25" s="22" t="s">
        <v>18</v>
      </c>
      <c r="I25" s="23" t="s">
        <v>17</v>
      </c>
      <c r="J25" s="23" t="s">
        <v>18</v>
      </c>
      <c r="K25" s="22" t="s">
        <v>17</v>
      </c>
      <c r="L25" s="22" t="s">
        <v>18</v>
      </c>
      <c r="M25" s="23" t="s">
        <v>17</v>
      </c>
      <c r="N25" s="23" t="s">
        <v>18</v>
      </c>
      <c r="O25" s="22" t="s">
        <v>17</v>
      </c>
      <c r="P25" s="22" t="s">
        <v>18</v>
      </c>
      <c r="Q25" s="23" t="s">
        <v>17</v>
      </c>
      <c r="R25" s="23" t="s">
        <v>18</v>
      </c>
    </row>
    <row r="26" customFormat="false" ht="13.8" hidden="false" customHeight="false" outlineLevel="0" collapsed="false">
      <c r="F26" s="25" t="str">
        <f aca="false">F10</f>
        <v>Governance, empowerment a…</v>
      </c>
      <c r="G26" s="26"/>
      <c r="H26" s="26"/>
      <c r="I26" s="27"/>
      <c r="J26" s="27"/>
      <c r="K26" s="26"/>
      <c r="L26" s="26"/>
      <c r="M26" s="27"/>
      <c r="N26" s="27"/>
      <c r="O26" s="26"/>
      <c r="P26" s="26"/>
      <c r="Q26" s="27"/>
      <c r="R26" s="27"/>
    </row>
    <row r="27" customFormat="false" ht="13.8" hidden="false" customHeight="false" outlineLevel="0" collapsed="false">
      <c r="F27" s="25" t="str">
        <f aca="false">F11</f>
        <v>Education and capacity bu…</v>
      </c>
      <c r="G27" s="26"/>
      <c r="H27" s="26"/>
      <c r="I27" s="27"/>
      <c r="J27" s="27"/>
      <c r="K27" s="26"/>
      <c r="L27" s="26"/>
      <c r="M27" s="27"/>
      <c r="N27" s="27" t="n">
        <v>1</v>
      </c>
      <c r="O27" s="26"/>
      <c r="P27" s="26"/>
      <c r="Q27" s="27"/>
      <c r="R27" s="27"/>
    </row>
    <row r="28" customFormat="false" ht="13.8" hidden="false" customHeight="false" outlineLevel="0" collapsed="false">
      <c r="F28" s="25" t="str">
        <f aca="false">F12</f>
        <v>Innovation, creativity an…</v>
      </c>
      <c r="G28" s="26"/>
      <c r="H28" s="26"/>
      <c r="I28" s="27"/>
      <c r="J28" s="27"/>
      <c r="K28" s="26"/>
      <c r="L28" s="26"/>
      <c r="M28" s="27"/>
      <c r="N28" s="27" t="n">
        <v>2</v>
      </c>
      <c r="O28" s="26"/>
      <c r="P28" s="26"/>
      <c r="Q28" s="27"/>
      <c r="R28" s="27"/>
    </row>
    <row r="29" customFormat="false" ht="13.8" hidden="false" customHeight="false" outlineLevel="0" collapsed="false">
      <c r="F29" s="25" t="str">
        <f aca="false">F13</f>
        <v>Health and care in the co…</v>
      </c>
      <c r="G29" s="26"/>
      <c r="H29" s="26"/>
      <c r="I29" s="27"/>
      <c r="J29" s="27"/>
      <c r="K29" s="26"/>
      <c r="L29" s="26"/>
      <c r="M29" s="27"/>
      <c r="N29" s="27" t="n">
        <v>3</v>
      </c>
      <c r="O29" s="26"/>
      <c r="P29" s="26"/>
      <c r="Q29" s="27"/>
      <c r="R29" s="27"/>
    </row>
    <row r="30" customFormat="false" ht="13.8" hidden="false" customHeight="false" outlineLevel="0" collapsed="false">
      <c r="F30" s="25" t="str">
        <f aca="false">F14</f>
        <v>Culture and community ide…</v>
      </c>
      <c r="G30" s="26"/>
      <c r="H30" s="26"/>
      <c r="I30" s="27"/>
      <c r="J30" s="27"/>
      <c r="K30" s="26"/>
      <c r="L30" s="26"/>
      <c r="M30" s="27"/>
      <c r="N30" s="27" t="n">
        <v>4</v>
      </c>
      <c r="O30" s="26"/>
      <c r="P30" s="26"/>
      <c r="Q30" s="27"/>
      <c r="R30" s="27"/>
    </row>
    <row r="31" customFormat="false" ht="13.8" hidden="false" customHeight="false" outlineLevel="0" collapsed="false">
      <c r="F31" s="25" t="str">
        <f aca="false">F15</f>
        <v>Living together, interdep…</v>
      </c>
      <c r="G31" s="26"/>
      <c r="H31" s="26"/>
      <c r="I31" s="27"/>
      <c r="J31" s="27"/>
      <c r="K31" s="26"/>
      <c r="L31" s="26"/>
      <c r="M31" s="27"/>
      <c r="N31" s="27" t="n">
        <v>5</v>
      </c>
      <c r="O31" s="26"/>
      <c r="P31" s="26"/>
      <c r="Q31" s="27"/>
      <c r="R31" s="27"/>
    </row>
    <row r="32" customFormat="false" ht="13.8" hidden="false" customHeight="false" outlineLevel="0" collapsed="false">
      <c r="F32" s="25" t="str">
        <f aca="false">F16</f>
        <v>Economy and sustainable p…</v>
      </c>
      <c r="G32" s="26"/>
      <c r="H32" s="26"/>
      <c r="I32" s="27"/>
      <c r="J32" s="27"/>
      <c r="K32" s="26"/>
      <c r="L32" s="26"/>
      <c r="M32" s="27"/>
      <c r="N32" s="27"/>
      <c r="O32" s="26"/>
      <c r="P32" s="26"/>
      <c r="Q32" s="27"/>
      <c r="R32" s="27"/>
    </row>
    <row r="33" customFormat="false" ht="13.8" hidden="false" customHeight="false" outlineLevel="0" collapsed="false">
      <c r="F33" s="25" t="str">
        <f aca="false">F17</f>
        <v>Living and working enviro…</v>
      </c>
      <c r="G33" s="26"/>
      <c r="H33" s="26"/>
      <c r="I33" s="27"/>
      <c r="J33" s="27"/>
      <c r="K33" s="26"/>
      <c r="L33" s="26"/>
      <c r="M33" s="27"/>
      <c r="N33" s="27"/>
      <c r="O33" s="26"/>
      <c r="P33" s="26"/>
      <c r="Q33" s="27"/>
      <c r="R33" s="27"/>
    </row>
    <row r="34" customFormat="false" ht="13.8" hidden="false" customHeight="false" outlineLevel="0" collapsed="false">
      <c r="F34" s="25" t="str">
        <f aca="false">F18</f>
        <v>Safety and security…</v>
      </c>
      <c r="G34" s="26"/>
      <c r="H34" s="26"/>
      <c r="I34" s="27"/>
      <c r="J34" s="27"/>
      <c r="K34" s="26"/>
      <c r="L34" s="26"/>
      <c r="M34" s="27"/>
      <c r="N34" s="27"/>
      <c r="O34" s="26"/>
      <c r="P34" s="26"/>
      <c r="Q34" s="27"/>
      <c r="R34" s="27"/>
    </row>
    <row r="35" customFormat="false" ht="13.8" hidden="false" customHeight="false" outlineLevel="0" collapsed="false">
      <c r="F35" s="25" t="str">
        <f aca="false">F19</f>
        <v>Biodiversity and ecosyste…</v>
      </c>
      <c r="G35" s="26"/>
      <c r="H35" s="26"/>
      <c r="I35" s="27"/>
      <c r="J35" s="27"/>
      <c r="K35" s="26"/>
      <c r="L35" s="26"/>
      <c r="M35" s="27"/>
      <c r="N35" s="27"/>
      <c r="O35" s="26"/>
      <c r="P35" s="26"/>
      <c r="Q35" s="27"/>
      <c r="R35" s="27"/>
    </row>
    <row r="36" customFormat="false" ht="13.8" hidden="false" customHeight="false" outlineLevel="0" collapsed="false">
      <c r="F36" s="25" t="str">
        <f aca="false">F20</f>
        <v>Community smart infrastru…</v>
      </c>
      <c r="G36" s="26"/>
      <c r="H36" s="26"/>
      <c r="I36" s="27"/>
      <c r="J36" s="27"/>
      <c r="K36" s="26"/>
      <c r="L36" s="26"/>
      <c r="M36" s="27"/>
      <c r="N36" s="27"/>
      <c r="O36" s="26"/>
      <c r="P36" s="26"/>
      <c r="Q36" s="27"/>
      <c r="R36" s="27"/>
    </row>
    <row r="37" customFormat="false" ht="13.8" hidden="false" customHeight="false" outlineLevel="0" collapsed="false">
      <c r="F37" s="25" t="str">
        <f aca="false">F21</f>
        <v>Mobility…</v>
      </c>
      <c r="G37" s="26"/>
      <c r="H37" s="26"/>
      <c r="I37" s="27"/>
      <c r="J37" s="27"/>
      <c r="K37" s="26"/>
      <c r="L37" s="26"/>
      <c r="M37" s="27"/>
      <c r="N37" s="27"/>
      <c r="O37" s="26"/>
      <c r="P37" s="26"/>
      <c r="Q37" s="27"/>
      <c r="R37" s="27"/>
    </row>
  </sheetData>
  <mergeCells count="20">
    <mergeCell ref="B2:C2"/>
    <mergeCell ref="F2:R2"/>
    <mergeCell ref="G6:R6"/>
    <mergeCell ref="F8:F9"/>
    <mergeCell ref="G8:H8"/>
    <mergeCell ref="I8:J8"/>
    <mergeCell ref="K8:L8"/>
    <mergeCell ref="M8:N8"/>
    <mergeCell ref="O8:P8"/>
    <mergeCell ref="Q8:R8"/>
    <mergeCell ref="B12:B14"/>
    <mergeCell ref="B16:B18"/>
    <mergeCell ref="B20:B22"/>
    <mergeCell ref="F24:F25"/>
    <mergeCell ref="G24:H24"/>
    <mergeCell ref="I24:J24"/>
    <mergeCell ref="K24:L24"/>
    <mergeCell ref="M24:N24"/>
    <mergeCell ref="O24:P24"/>
    <mergeCell ref="Q24:R24"/>
  </mergeCells>
  <printOptions headings="false" gridLines="false" gridLinesSet="true" horizontalCentered="true" verticalCentered="true"/>
  <pageMargins left="0.25" right="0.25"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iconSet" priority="2" id="{FED38450-5B75-4CCC-BFDF-31AF9CB5D0E2}">
            <x14:iconSet iconSet="3Stars" reverse="0" showValue="1">
              <x14:cfvo type="percent">
                <xm:f>0</xm:f>
              </x14:cfvo>
              <x14:cfvo type="percent">
                <xm:f>33</xm:f>
              </x14:cfvo>
              <x14:cfvo type="percent">
                <xm:f>67</xm:f>
              </x14:cfvo>
            </x14:iconSet>
          </x14:cfRule>
          <xm:sqref>G10:R21</xm:sqref>
        </x14:conditionalFormatting>
        <x14:conditionalFormatting xmlns:xm="http://schemas.microsoft.com/office/excel/2006/main">
          <x14:cfRule type="iconSet" priority="3" id="{EDB627B0-1BD0-4161-A2A4-DA5643FC408F}">
            <x14:iconSet iconSet="5Boxes" reverse="0" showValue="1">
              <x14:cfvo type="percent">
                <xm:f>0</xm:f>
              </x14:cfvo>
              <x14:cfvo type="percent">
                <xm:f>20</xm:f>
              </x14:cfvo>
              <x14:cfvo type="percent">
                <xm:f>40</xm:f>
              </x14:cfvo>
              <x14:cfvo type="percent">
                <xm:f>60</xm:f>
              </x14:cfvo>
              <x14:cfvo type="percent">
                <xm:f>80</xm:f>
              </x14:cfvo>
            </x14:iconSet>
          </x14:cfRule>
          <xm:sqref>G26:R37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8CBAD"/>
    <pageSetUpPr fitToPage="false"/>
  </sheetPr>
  <dimension ref="B1:C17"/>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M15" activeCellId="0" sqref="M15"/>
    </sheetView>
  </sheetViews>
  <sheetFormatPr defaultColWidth="8.73046875" defaultRowHeight="15" zeroHeight="false" outlineLevelRow="0" outlineLevelCol="0"/>
  <cols>
    <col collapsed="false" customWidth="true" hidden="false" outlineLevel="0" max="1" min="1" style="0" width="1.85"/>
    <col collapsed="false" customWidth="true" hidden="false" outlineLevel="0" max="2" min="2" style="0" width="10.99"/>
    <col collapsed="false" customWidth="true" hidden="false" outlineLevel="0" max="3" min="3" style="33" width="41.57"/>
  </cols>
  <sheetData>
    <row r="1" customFormat="false" ht="15.75" hidden="false" customHeight="false" outlineLevel="0" collapsed="false">
      <c r="C1" s="34" t="s">
        <v>26</v>
      </c>
    </row>
    <row r="2" customFormat="false" ht="9.75" hidden="false" customHeight="true" outlineLevel="0" collapsed="false"/>
    <row r="3" customFormat="false" ht="15" hidden="false" customHeight="false" outlineLevel="0" collapsed="false">
      <c r="B3" s="35" t="s">
        <v>27</v>
      </c>
      <c r="C3" s="36" t="s">
        <v>28</v>
      </c>
    </row>
    <row r="4" customFormat="false" ht="30" hidden="false" customHeight="false" outlineLevel="0" collapsed="false">
      <c r="B4" s="37" t="s">
        <v>29</v>
      </c>
      <c r="C4" s="38" t="s">
        <v>30</v>
      </c>
    </row>
    <row r="5" customFormat="false" ht="15" hidden="false" customHeight="false" outlineLevel="0" collapsed="false">
      <c r="B5" s="39" t="s">
        <v>31</v>
      </c>
      <c r="C5" s="40" t="s">
        <v>32</v>
      </c>
    </row>
    <row r="6" customFormat="false" ht="30" hidden="false" customHeight="false" outlineLevel="0" collapsed="false">
      <c r="B6" s="39" t="s">
        <v>33</v>
      </c>
      <c r="C6" s="40" t="s">
        <v>34</v>
      </c>
    </row>
    <row r="7" customFormat="false" ht="45" hidden="false" customHeight="false" outlineLevel="0" collapsed="false">
      <c r="B7" s="39"/>
      <c r="C7" s="41" t="s">
        <v>35</v>
      </c>
    </row>
    <row r="8" customFormat="false" ht="15" hidden="false" customHeight="false" outlineLevel="0" collapsed="false">
      <c r="B8" s="39" t="s">
        <v>36</v>
      </c>
      <c r="C8" s="40" t="s">
        <v>37</v>
      </c>
    </row>
    <row r="9" customFormat="false" ht="30" hidden="false" customHeight="false" outlineLevel="0" collapsed="false">
      <c r="B9" s="39" t="s">
        <v>38</v>
      </c>
      <c r="C9" s="40" t="s">
        <v>39</v>
      </c>
    </row>
    <row r="10" customFormat="false" ht="15" hidden="false" customHeight="false" outlineLevel="0" collapsed="false">
      <c r="B10" s="42" t="s">
        <v>40</v>
      </c>
      <c r="C10" s="43" t="s">
        <v>41</v>
      </c>
    </row>
    <row r="11" customFormat="false" ht="9.75" hidden="false" customHeight="true" outlineLevel="0" collapsed="false"/>
    <row r="12" customFormat="false" ht="15" hidden="false" customHeight="false" outlineLevel="0" collapsed="false">
      <c r="B12" s="8" t="s">
        <v>42</v>
      </c>
      <c r="C12" s="44" t="s">
        <v>2</v>
      </c>
    </row>
    <row r="13" customFormat="false" ht="15" hidden="false" customHeight="false" outlineLevel="0" collapsed="false">
      <c r="B13" s="37" t="s">
        <v>43</v>
      </c>
      <c r="C13" s="45" t="s">
        <v>44</v>
      </c>
    </row>
    <row r="14" customFormat="false" ht="15" hidden="false" customHeight="false" outlineLevel="0" collapsed="false">
      <c r="B14" s="39" t="s">
        <v>45</v>
      </c>
      <c r="C14" s="46" t="s">
        <v>46</v>
      </c>
    </row>
    <row r="15" customFormat="false" ht="15" hidden="false" customHeight="false" outlineLevel="0" collapsed="false">
      <c r="B15" s="39" t="s">
        <v>47</v>
      </c>
      <c r="C15" s="46" t="s">
        <v>48</v>
      </c>
    </row>
    <row r="16" customFormat="false" ht="15" hidden="false" customHeight="false" outlineLevel="0" collapsed="false">
      <c r="B16" s="42" t="s">
        <v>49</v>
      </c>
      <c r="C16" s="47" t="s">
        <v>50</v>
      </c>
    </row>
    <row r="17" customFormat="false" ht="9.75" hidden="false" customHeight="true" outlineLevel="0" collapsed="false"/>
  </sheetData>
  <mergeCells count="1">
    <mergeCell ref="B6:B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5E0B4"/>
    <pageSetUpPr fitToPage="true"/>
  </sheetPr>
  <dimension ref="B1:N104857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MJ16" activeCellId="0" sqref="AMJ16"/>
    </sheetView>
  </sheetViews>
  <sheetFormatPr defaultColWidth="8.875" defaultRowHeight="15" zeroHeight="true" outlineLevelRow="0" outlineLevelCol="0"/>
  <cols>
    <col collapsed="false" customWidth="true" hidden="false" outlineLevel="0" max="1" min="1" style="0" width="3.57"/>
    <col collapsed="false" customWidth="true" hidden="false" outlineLevel="0" max="2" min="2" style="0" width="15.29"/>
    <col collapsed="false" customWidth="true" hidden="false" outlineLevel="0" max="14" min="3" style="0" width="8.71"/>
    <col collapsed="false" customWidth="true" hidden="false" outlineLevel="0" max="15" min="15" style="0" width="3.57"/>
    <col collapsed="false" customWidth="true" hidden="true" outlineLevel="0" max="19" min="16" style="0" width="11.57"/>
    <col collapsed="false" customWidth="false" hidden="true" outlineLevel="0" max="1024" min="20" style="0" width="8.86"/>
  </cols>
  <sheetData>
    <row r="1" customFormat="false" ht="3" hidden="false" customHeight="true" outlineLevel="0" collapsed="false"/>
    <row r="2" customFormat="false" ht="15" hidden="false" customHeight="false" outlineLevel="0" collapsed="false">
      <c r="B2" s="3" t="s">
        <v>51</v>
      </c>
      <c r="C2" s="3"/>
      <c r="D2" s="3"/>
      <c r="E2" s="3"/>
      <c r="F2" s="3"/>
      <c r="G2" s="3"/>
      <c r="H2" s="3"/>
      <c r="I2" s="3"/>
      <c r="J2" s="3"/>
      <c r="K2" s="3"/>
      <c r="L2" s="3"/>
      <c r="M2" s="3"/>
      <c r="N2" s="3"/>
    </row>
    <row r="3" customFormat="false" ht="3" hidden="false" customHeight="true" outlineLevel="0" collapsed="false"/>
    <row r="4" customFormat="false" ht="15" hidden="false" customHeight="false" outlineLevel="0" collapsed="false">
      <c r="B4" s="48" t="s">
        <v>52</v>
      </c>
      <c r="C4" s="49"/>
      <c r="D4" s="49"/>
      <c r="E4" s="49"/>
      <c r="F4" s="49"/>
      <c r="G4" s="49"/>
      <c r="H4" s="49"/>
      <c r="I4" s="49"/>
      <c r="J4" s="49"/>
      <c r="K4" s="49"/>
      <c r="L4" s="49"/>
      <c r="M4" s="49"/>
      <c r="N4" s="49"/>
    </row>
    <row r="5" customFormat="false" ht="15" hidden="false" customHeight="false" outlineLevel="0" collapsed="false">
      <c r="B5" s="48" t="s">
        <v>15</v>
      </c>
      <c r="C5" s="50"/>
      <c r="D5" s="50"/>
      <c r="E5" s="50"/>
      <c r="F5" s="50"/>
      <c r="G5" s="50"/>
      <c r="H5" s="50"/>
      <c r="I5" s="50"/>
      <c r="J5" s="51" t="s">
        <v>53</v>
      </c>
      <c r="K5" s="51"/>
      <c r="L5" s="52"/>
      <c r="M5" s="52"/>
      <c r="N5" s="52"/>
    </row>
    <row r="6" customFormat="false" ht="15" hidden="false" customHeight="false" outlineLevel="0" collapsed="false">
      <c r="B6" s="48" t="s">
        <v>54</v>
      </c>
      <c r="C6" s="50"/>
      <c r="D6" s="50"/>
      <c r="E6" s="50"/>
      <c r="F6" s="50"/>
      <c r="G6" s="50"/>
      <c r="H6" s="50"/>
      <c r="I6" s="50"/>
      <c r="J6" s="51" t="s">
        <v>55</v>
      </c>
      <c r="K6" s="51"/>
      <c r="L6" s="50"/>
      <c r="M6" s="50"/>
      <c r="N6" s="50"/>
    </row>
    <row r="7" customFormat="false" ht="13.5" hidden="false" customHeight="true" outlineLevel="0" collapsed="false">
      <c r="B7" s="53" t="s">
        <v>56</v>
      </c>
      <c r="C7" s="50"/>
      <c r="D7" s="50"/>
      <c r="E7" s="50"/>
      <c r="F7" s="50"/>
      <c r="G7" s="50"/>
      <c r="H7" s="50"/>
      <c r="I7" s="50"/>
      <c r="J7" s="54" t="s">
        <v>57</v>
      </c>
      <c r="K7" s="54"/>
      <c r="L7" s="50"/>
      <c r="M7" s="50"/>
      <c r="N7" s="50"/>
    </row>
    <row r="8" customFormat="false" ht="300.75" hidden="false" customHeight="true" outlineLevel="0" collapsed="false">
      <c r="B8" s="48" t="s">
        <v>14</v>
      </c>
      <c r="C8" s="55"/>
      <c r="D8" s="55"/>
      <c r="E8" s="55"/>
      <c r="F8" s="55"/>
      <c r="G8" s="55"/>
      <c r="H8" s="55"/>
      <c r="I8" s="55"/>
      <c r="J8" s="55"/>
      <c r="K8" s="55"/>
      <c r="L8" s="55"/>
      <c r="M8" s="55"/>
      <c r="N8" s="55"/>
    </row>
    <row r="9" customFormat="false" ht="9" hidden="false" customHeight="true" outlineLevel="0" collapsed="false"/>
    <row r="10" customFormat="false" ht="13.5" hidden="false" customHeight="true" outlineLevel="0" collapsed="false">
      <c r="B10" s="56" t="s">
        <v>58</v>
      </c>
      <c r="C10" s="56" t="s">
        <v>59</v>
      </c>
      <c r="D10" s="56" t="s">
        <v>60</v>
      </c>
      <c r="E10" s="56" t="s">
        <v>17</v>
      </c>
      <c r="F10" s="56" t="s">
        <v>18</v>
      </c>
      <c r="G10" s="48" t="s">
        <v>61</v>
      </c>
      <c r="H10" s="48"/>
      <c r="I10" s="48"/>
      <c r="J10" s="48"/>
      <c r="K10" s="48"/>
      <c r="L10" s="48"/>
      <c r="M10" s="48"/>
      <c r="N10" s="48"/>
    </row>
    <row r="11" customFormat="false" ht="15" hidden="false" customHeight="false" outlineLevel="0" collapsed="false">
      <c r="B11" s="57"/>
      <c r="C11" s="58"/>
      <c r="D11" s="58"/>
      <c r="E11" s="58"/>
      <c r="F11" s="58"/>
      <c r="G11" s="59"/>
      <c r="H11" s="59"/>
      <c r="I11" s="59"/>
      <c r="J11" s="59"/>
      <c r="K11" s="59"/>
      <c r="L11" s="59"/>
      <c r="M11" s="59"/>
      <c r="N11" s="59"/>
    </row>
    <row r="12" customFormat="false" ht="15" hidden="false" customHeight="false" outlineLevel="0" collapsed="false">
      <c r="B12" s="57"/>
      <c r="C12" s="58"/>
      <c r="D12" s="58"/>
      <c r="E12" s="58"/>
      <c r="F12" s="58"/>
      <c r="G12" s="59"/>
      <c r="H12" s="59"/>
      <c r="I12" s="59"/>
      <c r="J12" s="59"/>
      <c r="K12" s="59"/>
      <c r="L12" s="59"/>
      <c r="M12" s="59"/>
      <c r="N12" s="59"/>
    </row>
    <row r="13" customFormat="false" ht="15" hidden="false" customHeight="false" outlineLevel="0" collapsed="false">
      <c r="B13" s="57"/>
      <c r="C13" s="58"/>
      <c r="D13" s="58"/>
      <c r="E13" s="58"/>
      <c r="F13" s="58"/>
      <c r="G13" s="59"/>
      <c r="H13" s="59"/>
      <c r="I13" s="59"/>
      <c r="J13" s="59"/>
      <c r="K13" s="59"/>
      <c r="L13" s="59"/>
      <c r="M13" s="59"/>
      <c r="N13" s="59"/>
    </row>
    <row r="14" customFormat="false" ht="15" hidden="false" customHeight="false" outlineLevel="0" collapsed="false">
      <c r="B14" s="57"/>
      <c r="C14" s="58"/>
      <c r="D14" s="58"/>
      <c r="E14" s="58"/>
      <c r="F14" s="58"/>
      <c r="G14" s="59"/>
      <c r="H14" s="59"/>
      <c r="I14" s="59"/>
      <c r="J14" s="59"/>
      <c r="K14" s="59"/>
      <c r="L14" s="59"/>
      <c r="M14" s="59"/>
      <c r="N14" s="59"/>
    </row>
    <row r="15" customFormat="false" ht="15" hidden="false" customHeight="false" outlineLevel="0" collapsed="false">
      <c r="B15" s="57"/>
      <c r="C15" s="58"/>
      <c r="D15" s="58"/>
      <c r="E15" s="58"/>
      <c r="F15" s="58"/>
      <c r="G15" s="59"/>
      <c r="H15" s="59"/>
      <c r="I15" s="59"/>
      <c r="J15" s="59"/>
      <c r="K15" s="59"/>
      <c r="L15" s="59"/>
      <c r="M15" s="59"/>
      <c r="N15" s="59"/>
    </row>
    <row r="16" customFormat="false" ht="15" hidden="false" customHeight="false" outlineLevel="0" collapsed="false">
      <c r="B16" s="57"/>
      <c r="C16" s="58"/>
      <c r="D16" s="58"/>
      <c r="E16" s="58"/>
      <c r="F16" s="58"/>
      <c r="G16" s="59"/>
      <c r="H16" s="59"/>
      <c r="I16" s="59"/>
      <c r="J16" s="59"/>
      <c r="K16" s="59"/>
      <c r="L16" s="59"/>
      <c r="M16" s="59"/>
      <c r="N16" s="59"/>
    </row>
    <row r="17" customFormat="false" ht="15" hidden="false" customHeight="false" outlineLevel="0" collapsed="false">
      <c r="B17" s="57"/>
      <c r="C17" s="58"/>
      <c r="D17" s="58"/>
      <c r="E17" s="58"/>
      <c r="F17" s="58"/>
      <c r="G17" s="59"/>
      <c r="H17" s="59"/>
      <c r="I17" s="59"/>
      <c r="J17" s="59"/>
      <c r="K17" s="59"/>
      <c r="L17" s="59"/>
      <c r="M17" s="59"/>
      <c r="N17" s="59"/>
    </row>
    <row r="18" customFormat="false" ht="15" hidden="false" customHeight="false" outlineLevel="0" collapsed="false">
      <c r="B18" s="57"/>
      <c r="C18" s="58"/>
      <c r="D18" s="58"/>
      <c r="E18" s="58"/>
      <c r="F18" s="58"/>
      <c r="G18" s="59"/>
      <c r="H18" s="59"/>
      <c r="I18" s="59"/>
      <c r="J18" s="59"/>
      <c r="K18" s="59"/>
      <c r="L18" s="59"/>
      <c r="M18" s="59"/>
      <c r="N18" s="59"/>
    </row>
    <row r="19" customFormat="false" ht="15" hidden="false" customHeight="false" outlineLevel="0" collapsed="false">
      <c r="B19" s="57"/>
      <c r="C19" s="58"/>
      <c r="D19" s="58"/>
      <c r="E19" s="58"/>
      <c r="F19" s="58"/>
      <c r="G19" s="59"/>
      <c r="H19" s="59"/>
      <c r="I19" s="59"/>
      <c r="J19" s="59"/>
      <c r="K19" s="59"/>
      <c r="L19" s="59"/>
      <c r="M19" s="59"/>
      <c r="N19" s="59"/>
    </row>
    <row r="20" customFormat="false" ht="15" hidden="false" customHeight="false" outlineLevel="0" collapsed="false">
      <c r="B20" s="57"/>
      <c r="C20" s="58"/>
      <c r="D20" s="58"/>
      <c r="E20" s="58"/>
      <c r="F20" s="58"/>
      <c r="G20" s="59"/>
      <c r="H20" s="59"/>
      <c r="I20" s="59"/>
      <c r="J20" s="59"/>
      <c r="K20" s="59"/>
      <c r="L20" s="59"/>
      <c r="M20" s="59"/>
      <c r="N20" s="59"/>
    </row>
    <row r="21" customFormat="false" ht="9" hidden="false" customHeight="true" outlineLevel="0" collapsed="false"/>
    <row r="22" customFormat="false" ht="14.25" hidden="false" customHeight="true" outlineLevel="0" collapsed="false">
      <c r="B22" s="60" t="s">
        <v>62</v>
      </c>
      <c r="C22" s="61" t="s">
        <v>63</v>
      </c>
      <c r="D22" s="61"/>
      <c r="E22" s="61"/>
      <c r="F22" s="61"/>
      <c r="G22" s="61"/>
      <c r="H22" s="61"/>
      <c r="I22" s="62" t="s">
        <v>64</v>
      </c>
      <c r="J22" s="62"/>
      <c r="K22" s="62"/>
      <c r="L22" s="62"/>
      <c r="M22" s="62"/>
      <c r="N22" s="62"/>
    </row>
    <row r="23" customFormat="false" ht="14.25" hidden="false" customHeight="true" outlineLevel="0" collapsed="false">
      <c r="B23" s="60"/>
      <c r="C23" s="63" t="s">
        <v>65</v>
      </c>
      <c r="D23" s="63"/>
      <c r="E23" s="63"/>
      <c r="F23" s="63"/>
      <c r="G23" s="63"/>
      <c r="H23" s="63"/>
      <c r="I23" s="63" t="s">
        <v>66</v>
      </c>
      <c r="J23" s="63"/>
      <c r="K23" s="63"/>
      <c r="L23" s="63"/>
      <c r="M23" s="63"/>
      <c r="N23" s="63"/>
    </row>
    <row r="24" customFormat="false" ht="14.25" hidden="false" customHeight="true" outlineLevel="0" collapsed="false">
      <c r="B24" s="60"/>
      <c r="C24" s="63" t="s">
        <v>67</v>
      </c>
      <c r="D24" s="63"/>
      <c r="E24" s="63"/>
      <c r="F24" s="63"/>
      <c r="G24" s="63"/>
      <c r="H24" s="63"/>
      <c r="I24" s="64" t="s">
        <v>68</v>
      </c>
      <c r="J24" s="64"/>
      <c r="K24" s="64"/>
      <c r="L24" s="64"/>
      <c r="M24" s="64"/>
      <c r="N24" s="64"/>
    </row>
    <row r="25" customFormat="false" ht="14.25" hidden="false" customHeight="true" outlineLevel="0" collapsed="false">
      <c r="B25" s="60"/>
      <c r="C25" s="63" t="s">
        <v>69</v>
      </c>
      <c r="D25" s="63"/>
      <c r="E25" s="63"/>
      <c r="F25" s="63"/>
      <c r="G25" s="63"/>
      <c r="H25" s="63"/>
      <c r="I25" s="64" t="s">
        <v>70</v>
      </c>
      <c r="J25" s="64"/>
      <c r="K25" s="64"/>
      <c r="L25" s="64"/>
      <c r="M25" s="64"/>
      <c r="N25" s="64"/>
    </row>
    <row r="26" customFormat="false" ht="14.25" hidden="false" customHeight="true" outlineLevel="0" collapsed="false">
      <c r="B26" s="60"/>
      <c r="C26" s="63" t="s">
        <v>71</v>
      </c>
      <c r="D26" s="63"/>
      <c r="E26" s="63"/>
      <c r="F26" s="63"/>
      <c r="G26" s="63"/>
      <c r="H26" s="63"/>
      <c r="I26" s="64" t="s">
        <v>72</v>
      </c>
      <c r="J26" s="64"/>
      <c r="K26" s="64"/>
      <c r="L26" s="64"/>
      <c r="M26" s="64"/>
      <c r="N26" s="64"/>
    </row>
    <row r="27" customFormat="false" ht="14.25" hidden="false" customHeight="true" outlineLevel="0" collapsed="false">
      <c r="B27" s="60"/>
      <c r="C27" s="63" t="s">
        <v>73</v>
      </c>
      <c r="D27" s="63"/>
      <c r="E27" s="63"/>
      <c r="F27" s="63"/>
      <c r="G27" s="63"/>
      <c r="H27" s="63"/>
      <c r="I27" s="64" t="s">
        <v>74</v>
      </c>
      <c r="J27" s="64"/>
      <c r="K27" s="64"/>
      <c r="L27" s="64"/>
      <c r="M27" s="64"/>
      <c r="N27" s="64"/>
    </row>
    <row r="28" customFormat="false" ht="14.25" hidden="false" customHeight="true" outlineLevel="0" collapsed="false">
      <c r="B28" s="60"/>
      <c r="C28" s="63" t="s">
        <v>75</v>
      </c>
      <c r="D28" s="63"/>
      <c r="E28" s="63"/>
      <c r="F28" s="63"/>
      <c r="G28" s="63"/>
      <c r="H28" s="63"/>
      <c r="I28" s="64" t="s">
        <v>76</v>
      </c>
      <c r="J28" s="64"/>
      <c r="K28" s="64"/>
      <c r="L28" s="64"/>
      <c r="M28" s="64"/>
      <c r="N28" s="64"/>
    </row>
    <row r="29" customFormat="false" ht="14.25" hidden="false" customHeight="true" outlineLevel="0" collapsed="false">
      <c r="B29" s="60"/>
      <c r="C29" s="63"/>
      <c r="D29" s="63"/>
      <c r="E29" s="63"/>
      <c r="F29" s="63"/>
      <c r="G29" s="63"/>
      <c r="H29" s="63"/>
      <c r="I29" s="64" t="s">
        <v>77</v>
      </c>
      <c r="J29" s="64"/>
      <c r="K29" s="64"/>
      <c r="L29" s="64"/>
      <c r="M29" s="64"/>
      <c r="N29" s="64"/>
    </row>
    <row r="30" customFormat="false" ht="14.25" hidden="false" customHeight="true" outlineLevel="0" collapsed="false">
      <c r="B30" s="60"/>
      <c r="C30" s="63"/>
      <c r="D30" s="63"/>
      <c r="E30" s="63"/>
      <c r="F30" s="63"/>
      <c r="G30" s="63"/>
      <c r="H30" s="63"/>
      <c r="I30" s="64" t="s">
        <v>78</v>
      </c>
      <c r="J30" s="64"/>
      <c r="K30" s="64"/>
      <c r="L30" s="64"/>
      <c r="M30" s="64"/>
      <c r="N30" s="64"/>
    </row>
    <row r="31" customFormat="false" ht="14.25" hidden="false" customHeight="true" outlineLevel="0" collapsed="false">
      <c r="B31" s="60"/>
      <c r="C31" s="63"/>
      <c r="D31" s="63"/>
      <c r="E31" s="63"/>
      <c r="F31" s="63"/>
      <c r="G31" s="63"/>
      <c r="H31" s="63"/>
      <c r="I31" s="64" t="s">
        <v>79</v>
      </c>
      <c r="J31" s="64"/>
      <c r="K31" s="64"/>
      <c r="L31" s="64"/>
      <c r="M31" s="64"/>
      <c r="N31" s="64"/>
    </row>
    <row r="32" customFormat="false" ht="14.25" hidden="false" customHeight="true" outlineLevel="0" collapsed="false">
      <c r="B32" s="60"/>
      <c r="C32" s="63"/>
      <c r="D32" s="63"/>
      <c r="E32" s="63"/>
      <c r="F32" s="63"/>
      <c r="G32" s="63"/>
      <c r="H32" s="63"/>
      <c r="I32" s="64" t="s">
        <v>80</v>
      </c>
      <c r="J32" s="64"/>
      <c r="K32" s="64"/>
      <c r="L32" s="64"/>
      <c r="M32" s="64"/>
      <c r="N32" s="64"/>
    </row>
    <row r="33" customFormat="false" ht="14.25" hidden="false" customHeight="true" outlineLevel="0" collapsed="false">
      <c r="B33" s="60"/>
      <c r="C33" s="63"/>
      <c r="D33" s="63"/>
      <c r="E33" s="63"/>
      <c r="F33" s="63"/>
      <c r="G33" s="63"/>
      <c r="H33" s="63"/>
      <c r="I33" s="64" t="s">
        <v>81</v>
      </c>
      <c r="J33" s="64"/>
      <c r="K33" s="64"/>
      <c r="L33" s="64"/>
      <c r="M33" s="64"/>
      <c r="N33" s="64"/>
    </row>
    <row r="34" customFormat="false" ht="14.25" hidden="false" customHeight="true" outlineLevel="0" collapsed="false">
      <c r="B34" s="60"/>
      <c r="C34" s="65"/>
      <c r="D34" s="65"/>
      <c r="E34" s="65"/>
      <c r="F34" s="65"/>
      <c r="G34" s="65"/>
      <c r="H34" s="65"/>
      <c r="I34" s="66" t="s">
        <v>82</v>
      </c>
      <c r="J34" s="66"/>
      <c r="K34" s="66"/>
      <c r="L34" s="66"/>
      <c r="M34" s="66"/>
      <c r="N34" s="66"/>
    </row>
    <row r="35" customFormat="false" ht="3" hidden="false" customHeight="true" outlineLevel="0" collapsed="false"/>
    <row r="36" customFormat="false" ht="9" hidden="false" customHeight="true" outlineLevel="0" collapsed="false"/>
    <row r="37" customFormat="false" ht="15" hidden="false" customHeight="true" outlineLevel="0" collapsed="false">
      <c r="B37" s="67"/>
      <c r="C37" s="17" t="s">
        <v>83</v>
      </c>
      <c r="D37" s="17"/>
      <c r="E37" s="18" t="s">
        <v>84</v>
      </c>
      <c r="F37" s="18"/>
      <c r="G37" s="19" t="s">
        <v>85</v>
      </c>
      <c r="H37" s="19"/>
      <c r="I37" s="19" t="s">
        <v>86</v>
      </c>
      <c r="J37" s="19"/>
      <c r="K37" s="17" t="s">
        <v>87</v>
      </c>
      <c r="L37" s="17"/>
      <c r="M37" s="17" t="s">
        <v>88</v>
      </c>
      <c r="N37" s="17"/>
    </row>
    <row r="38" customFormat="false" ht="15" hidden="false" customHeight="false" outlineLevel="0" collapsed="false">
      <c r="B38" s="67"/>
      <c r="C38" s="22" t="s">
        <v>17</v>
      </c>
      <c r="D38" s="22" t="s">
        <v>18</v>
      </c>
      <c r="E38" s="23" t="s">
        <v>17</v>
      </c>
      <c r="F38" s="23" t="s">
        <v>18</v>
      </c>
      <c r="G38" s="22" t="s">
        <v>17</v>
      </c>
      <c r="H38" s="22" t="s">
        <v>18</v>
      </c>
      <c r="I38" s="23" t="s">
        <v>17</v>
      </c>
      <c r="J38" s="23" t="s">
        <v>18</v>
      </c>
      <c r="K38" s="22" t="s">
        <v>17</v>
      </c>
      <c r="L38" s="22" t="s">
        <v>18</v>
      </c>
      <c r="M38" s="23" t="s">
        <v>17</v>
      </c>
      <c r="N38" s="23" t="s">
        <v>18</v>
      </c>
    </row>
    <row r="39" customFormat="false" ht="15" hidden="false" customHeight="false" outlineLevel="0" collapsed="false">
      <c r="B39" s="68" t="s">
        <v>89</v>
      </c>
      <c r="C39" s="26" t="str">
        <f aca="false">IFERROR(AVERAGEIFS($E$11:$E$20,$C$11:$C$20,C$37,$D$11:$D$20,$B39),"")</f>
        <v/>
      </c>
      <c r="D39" s="26" t="str">
        <f aca="false">IFERROR(AVERAGEIFS($F$11:$F$20,$C$11:$C$20,C$37,$D$11:$D$20,$B39),"")</f>
        <v/>
      </c>
      <c r="E39" s="27" t="str">
        <f aca="false">IFERROR(AVERAGEIFS($E$11:$E$20,$C$11:$C$20,E$37,$D$11:$D$20,$B39),"")</f>
        <v/>
      </c>
      <c r="F39" s="27" t="str">
        <f aca="false">IFERROR(AVERAGEIFS($F$11:$F$20,$C$11:$C$20,E$37,$D$11:$D$20,$B39),"")</f>
        <v/>
      </c>
      <c r="G39" s="26" t="str">
        <f aca="false">IFERROR(AVERAGEIFS($E$11:$E$20,$C$11:$C$20,G$37,$D$11:$D$20,$B39),"")</f>
        <v/>
      </c>
      <c r="H39" s="26" t="str">
        <f aca="false">IFERROR(AVERAGEIFS($F$11:$F$20,$C$11:$C$20,G$37,$D$11:$D$20,$B39),"")</f>
        <v/>
      </c>
      <c r="I39" s="27" t="str">
        <f aca="false">IFERROR(AVERAGEIFS($E$11:$E$20,$C$11:$C$20,I$37,$D$11:$D$20,$B39),"")</f>
        <v/>
      </c>
      <c r="J39" s="27" t="str">
        <f aca="false">IFERROR(AVERAGEIFS($F$11:$F$20,$C$11:$C$20,I$37,$D$11:$D$20,$B39),"")</f>
        <v/>
      </c>
      <c r="K39" s="26" t="str">
        <f aca="false">IFERROR(AVERAGEIFS($E$11:$E$20,$C$11:$C$20,K$37,$D$11:$D$20,$B39),"")</f>
        <v/>
      </c>
      <c r="L39" s="26" t="str">
        <f aca="false">IFERROR(AVERAGEIFS($F$11:$F$20,$C$11:$C$20,K$37,$D$11:$D$20,$B39),"")</f>
        <v/>
      </c>
      <c r="M39" s="27" t="str">
        <f aca="false">IFERROR(AVERAGEIFS($E$11:$E$20,$C$11:$C$20,M$37,$D$11:$D$20,$B39),"")</f>
        <v/>
      </c>
      <c r="N39" s="27" t="str">
        <f aca="false">IFERROR(AVERAGEIFS($F$11:$F$20,$C$11:$C$20,M$37,$D$11:$D$20,$B39),"")</f>
        <v/>
      </c>
    </row>
    <row r="40" customFormat="false" ht="15" hidden="false" customHeight="false" outlineLevel="0" collapsed="false">
      <c r="B40" s="68" t="s">
        <v>90</v>
      </c>
      <c r="C40" s="26" t="str">
        <f aca="false">IFERROR(AVERAGEIFS($E$11:$E$20,$C$11:$C$20,C$37,$D$11:$D$20,$B40),"")</f>
        <v/>
      </c>
      <c r="D40" s="26" t="str">
        <f aca="false">IFERROR(AVERAGEIFS($F$11:$F$20,$C$11:$C$20,C$37,$D$11:$D$20,$B40),"")</f>
        <v/>
      </c>
      <c r="E40" s="27" t="str">
        <f aca="false">IFERROR(AVERAGEIFS($E$11:$E$20,$C$11:$C$20,E$37,$D$11:$D$20,$B40),"")</f>
        <v/>
      </c>
      <c r="F40" s="27" t="str">
        <f aca="false">IFERROR(AVERAGEIFS($F$11:$F$20,$C$11:$C$20,E$37,$D$11:$D$20,$B40),"")</f>
        <v/>
      </c>
      <c r="G40" s="26" t="str">
        <f aca="false">IFERROR(AVERAGEIFS($E$11:$E$20,$C$11:$C$20,G$37,$D$11:$D$20,$B40),"")</f>
        <v/>
      </c>
      <c r="H40" s="26" t="str">
        <f aca="false">IFERROR(AVERAGEIFS($F$11:$F$20,$C$11:$C$20,G$37,$D$11:$D$20,$B40),"")</f>
        <v/>
      </c>
      <c r="I40" s="27" t="str">
        <f aca="false">IFERROR(AVERAGEIFS($E$11:$E$20,$C$11:$C$20,I$37,$D$11:$D$20,$B40),"")</f>
        <v/>
      </c>
      <c r="J40" s="27" t="str">
        <f aca="false">IFERROR(AVERAGEIFS($F$11:$F$20,$C$11:$C$20,I$37,$D$11:$D$20,$B40),"")</f>
        <v/>
      </c>
      <c r="K40" s="26" t="str">
        <f aca="false">IFERROR(AVERAGEIFS($E$11:$E$20,$C$11:$C$20,K$37,$D$11:$D$20,$B40),"")</f>
        <v/>
      </c>
      <c r="L40" s="26" t="str">
        <f aca="false">IFERROR(AVERAGEIFS($F$11:$F$20,$C$11:$C$20,K$37,$D$11:$D$20,$B40),"")</f>
        <v/>
      </c>
      <c r="M40" s="27" t="str">
        <f aca="false">IFERROR(AVERAGEIFS($E$11:$E$20,$C$11:$C$20,M$37,$D$11:$D$20,$B40),"")</f>
        <v/>
      </c>
      <c r="N40" s="27" t="str">
        <f aca="false">IFERROR(AVERAGEIFS($F$11:$F$20,$C$11:$C$20,M$37,$D$11:$D$20,$B40),"")</f>
        <v/>
      </c>
    </row>
    <row r="41" customFormat="false" ht="15" hidden="false" customHeight="false" outlineLevel="0" collapsed="false">
      <c r="B41" s="68" t="s">
        <v>91</v>
      </c>
      <c r="C41" s="26" t="str">
        <f aca="false">IFERROR(AVERAGEIFS($E$11:$E$20,$C$11:$C$20,C$37,$D$11:$D$20,$B41),"")</f>
        <v/>
      </c>
      <c r="D41" s="26" t="str">
        <f aca="false">IFERROR(AVERAGEIFS($F$11:$F$20,$C$11:$C$20,C$37,$D$11:$D$20,$B41),"")</f>
        <v/>
      </c>
      <c r="E41" s="27" t="str">
        <f aca="false">IFERROR(AVERAGEIFS($E$11:$E$20,$C$11:$C$20,E$37,$D$11:$D$20,$B41),"")</f>
        <v/>
      </c>
      <c r="F41" s="27" t="str">
        <f aca="false">IFERROR(AVERAGEIFS($F$11:$F$20,$C$11:$C$20,E$37,$D$11:$D$20,$B41),"")</f>
        <v/>
      </c>
      <c r="G41" s="26" t="str">
        <f aca="false">IFERROR(AVERAGEIFS($E$11:$E$20,$C$11:$C$20,G$37,$D$11:$D$20,$B41),"")</f>
        <v/>
      </c>
      <c r="H41" s="26" t="str">
        <f aca="false">IFERROR(AVERAGEIFS($F$11:$F$20,$C$11:$C$20,G$37,$D$11:$D$20,$B41),"")</f>
        <v/>
      </c>
      <c r="I41" s="27" t="str">
        <f aca="false">IFERROR(AVERAGEIFS($E$11:$E$20,$C$11:$C$20,I$37,$D$11:$D$20,$B41),"")</f>
        <v/>
      </c>
      <c r="J41" s="27" t="str">
        <f aca="false">IFERROR(AVERAGEIFS($F$11:$F$20,$C$11:$C$20,I$37,$D$11:$D$20,$B41),"")</f>
        <v/>
      </c>
      <c r="K41" s="26" t="str">
        <f aca="false">IFERROR(AVERAGEIFS($E$11:$E$20,$C$11:$C$20,K$37,$D$11:$D$20,$B41),"")</f>
        <v/>
      </c>
      <c r="L41" s="26" t="str">
        <f aca="false">IFERROR(AVERAGEIFS($F$11:$F$20,$C$11:$C$20,K$37,$D$11:$D$20,$B41),"")</f>
        <v/>
      </c>
      <c r="M41" s="27" t="str">
        <f aca="false">IFERROR(AVERAGEIFS($E$11:$E$20,$C$11:$C$20,M$37,$D$11:$D$20,$B41),"")</f>
        <v/>
      </c>
      <c r="N41" s="27" t="str">
        <f aca="false">IFERROR(AVERAGEIFS($F$11:$F$20,$C$11:$C$20,M$37,$D$11:$D$20,$B41),"")</f>
        <v/>
      </c>
    </row>
    <row r="42" customFormat="false" ht="15" hidden="false" customHeight="false" outlineLevel="0" collapsed="false">
      <c r="B42" s="68" t="s">
        <v>92</v>
      </c>
      <c r="C42" s="26" t="str">
        <f aca="false">IFERROR(AVERAGEIFS($E$11:$E$20,$C$11:$C$20,C$37,$D$11:$D$20,$B42),"")</f>
        <v/>
      </c>
      <c r="D42" s="26" t="str">
        <f aca="false">IFERROR(AVERAGEIFS($F$11:$F$20,$C$11:$C$20,C$37,$D$11:$D$20,$B42),"")</f>
        <v/>
      </c>
      <c r="E42" s="27" t="str">
        <f aca="false">IFERROR(AVERAGEIFS($E$11:$E$20,$C$11:$C$20,E$37,$D$11:$D$20,$B42),"")</f>
        <v/>
      </c>
      <c r="F42" s="27" t="str">
        <f aca="false">IFERROR(AVERAGEIFS($F$11:$F$20,$C$11:$C$20,E$37,$D$11:$D$20,$B42),"")</f>
        <v/>
      </c>
      <c r="G42" s="26" t="str">
        <f aca="false">IFERROR(AVERAGEIFS($E$11:$E$20,$C$11:$C$20,G$37,$D$11:$D$20,$B42),"")</f>
        <v/>
      </c>
      <c r="H42" s="26" t="str">
        <f aca="false">IFERROR(AVERAGEIFS($F$11:$F$20,$C$11:$C$20,G$37,$D$11:$D$20,$B42),"")</f>
        <v/>
      </c>
      <c r="I42" s="27" t="str">
        <f aca="false">IFERROR(AVERAGEIFS($E$11:$E$20,$C$11:$C$20,I$37,$D$11:$D$20,$B42),"")</f>
        <v/>
      </c>
      <c r="J42" s="27" t="str">
        <f aca="false">IFERROR(AVERAGEIFS($F$11:$F$20,$C$11:$C$20,I$37,$D$11:$D$20,$B42),"")</f>
        <v/>
      </c>
      <c r="K42" s="26" t="str">
        <f aca="false">IFERROR(AVERAGEIFS($E$11:$E$20,$C$11:$C$20,K$37,$D$11:$D$20,$B42),"")</f>
        <v/>
      </c>
      <c r="L42" s="26" t="str">
        <f aca="false">IFERROR(AVERAGEIFS($F$11:$F$20,$C$11:$C$20,K$37,$D$11:$D$20,$B42),"")</f>
        <v/>
      </c>
      <c r="M42" s="27" t="str">
        <f aca="false">IFERROR(AVERAGEIFS($E$11:$E$20,$C$11:$C$20,M$37,$D$11:$D$20,$B42),"")</f>
        <v/>
      </c>
      <c r="N42" s="27" t="str">
        <f aca="false">IFERROR(AVERAGEIFS($F$11:$F$20,$C$11:$C$20,M$37,$D$11:$D$20,$B42),"")</f>
        <v/>
      </c>
    </row>
    <row r="43" customFormat="false" ht="15" hidden="false" customHeight="false" outlineLevel="0" collapsed="false">
      <c r="B43" s="68" t="s">
        <v>93</v>
      </c>
      <c r="C43" s="26" t="str">
        <f aca="false">IFERROR(AVERAGEIFS($E$11:$E$20,$C$11:$C$20,C$37,$D$11:$D$20,$B43),"")</f>
        <v/>
      </c>
      <c r="D43" s="26" t="str">
        <f aca="false">IFERROR(AVERAGEIFS($F$11:$F$20,$C$11:$C$20,C$37,$D$11:$D$20,$B43),"")</f>
        <v/>
      </c>
      <c r="E43" s="27" t="str">
        <f aca="false">IFERROR(AVERAGEIFS($E$11:$E$20,$C$11:$C$20,E$37,$D$11:$D$20,$B43),"")</f>
        <v/>
      </c>
      <c r="F43" s="27" t="str">
        <f aca="false">IFERROR(AVERAGEIFS($F$11:$F$20,$C$11:$C$20,E$37,$D$11:$D$20,$B43),"")</f>
        <v/>
      </c>
      <c r="G43" s="26" t="str">
        <f aca="false">IFERROR(AVERAGEIFS($E$11:$E$20,$C$11:$C$20,G$37,$D$11:$D$20,$B43),"")</f>
        <v/>
      </c>
      <c r="H43" s="26" t="str">
        <f aca="false">IFERROR(AVERAGEIFS($F$11:$F$20,$C$11:$C$20,G$37,$D$11:$D$20,$B43),"")</f>
        <v/>
      </c>
      <c r="I43" s="27" t="str">
        <f aca="false">IFERROR(AVERAGEIFS($E$11:$E$20,$C$11:$C$20,I$37,$D$11:$D$20,$B43),"")</f>
        <v/>
      </c>
      <c r="J43" s="27" t="str">
        <f aca="false">IFERROR(AVERAGEIFS($F$11:$F$20,$C$11:$C$20,I$37,$D$11:$D$20,$B43),"")</f>
        <v/>
      </c>
      <c r="K43" s="26" t="str">
        <f aca="false">IFERROR(AVERAGEIFS($E$11:$E$20,$C$11:$C$20,K$37,$D$11:$D$20,$B43),"")</f>
        <v/>
      </c>
      <c r="L43" s="26" t="str">
        <f aca="false">IFERROR(AVERAGEIFS($F$11:$F$20,$C$11:$C$20,K$37,$D$11:$D$20,$B43),"")</f>
        <v/>
      </c>
      <c r="M43" s="27" t="str">
        <f aca="false">IFERROR(AVERAGEIFS($E$11:$E$20,$C$11:$C$20,M$37,$D$11:$D$20,$B43),"")</f>
        <v/>
      </c>
      <c r="N43" s="27" t="str">
        <f aca="false">IFERROR(AVERAGEIFS($F$11:$F$20,$C$11:$C$20,M$37,$D$11:$D$20,$B43),"")</f>
        <v/>
      </c>
    </row>
    <row r="44" customFormat="false" ht="15" hidden="false" customHeight="false" outlineLevel="0" collapsed="false">
      <c r="B44" s="68" t="s">
        <v>94</v>
      </c>
      <c r="C44" s="26" t="str">
        <f aca="false">IFERROR(AVERAGEIFS($E$11:$E$20,$C$11:$C$20,C$37,$D$11:$D$20,$B44),"")</f>
        <v/>
      </c>
      <c r="D44" s="26" t="str">
        <f aca="false">IFERROR(AVERAGEIFS($F$11:$F$20,$C$11:$C$20,C$37,$D$11:$D$20,$B44),"")</f>
        <v/>
      </c>
      <c r="E44" s="27" t="str">
        <f aca="false">IFERROR(AVERAGEIFS($E$11:$E$20,$C$11:$C$20,E$37,$D$11:$D$20,$B44),"")</f>
        <v/>
      </c>
      <c r="F44" s="27" t="str">
        <f aca="false">IFERROR(AVERAGEIFS($F$11:$F$20,$C$11:$C$20,E$37,$D$11:$D$20,$B44),"")</f>
        <v/>
      </c>
      <c r="G44" s="26" t="str">
        <f aca="false">IFERROR(AVERAGEIFS($E$11:$E$20,$C$11:$C$20,G$37,$D$11:$D$20,$B44),"")</f>
        <v/>
      </c>
      <c r="H44" s="26" t="str">
        <f aca="false">IFERROR(AVERAGEIFS($F$11:$F$20,$C$11:$C$20,G$37,$D$11:$D$20,$B44),"")</f>
        <v/>
      </c>
      <c r="I44" s="27" t="str">
        <f aca="false">IFERROR(AVERAGEIFS($E$11:$E$20,$C$11:$C$20,I$37,$D$11:$D$20,$B44),"")</f>
        <v/>
      </c>
      <c r="J44" s="27" t="str">
        <f aca="false">IFERROR(AVERAGEIFS($F$11:$F$20,$C$11:$C$20,I$37,$D$11:$D$20,$B44),"")</f>
        <v/>
      </c>
      <c r="K44" s="26" t="str">
        <f aca="false">IFERROR(AVERAGEIFS($E$11:$E$20,$C$11:$C$20,K$37,$D$11:$D$20,$B44),"")</f>
        <v/>
      </c>
      <c r="L44" s="26" t="str">
        <f aca="false">IFERROR(AVERAGEIFS($F$11:$F$20,$C$11:$C$20,K$37,$D$11:$D$20,$B44),"")</f>
        <v/>
      </c>
      <c r="M44" s="27" t="str">
        <f aca="false">IFERROR(AVERAGEIFS($E$11:$E$20,$C$11:$C$20,M$37,$D$11:$D$20,$B44),"")</f>
        <v/>
      </c>
      <c r="N44" s="27" t="str">
        <f aca="false">IFERROR(AVERAGEIFS($F$11:$F$20,$C$11:$C$20,M$37,$D$11:$D$20,$B44),"")</f>
        <v/>
      </c>
    </row>
    <row r="45" customFormat="false" ht="15" hidden="false" customHeight="false" outlineLevel="0" collapsed="false">
      <c r="B45" s="68" t="s">
        <v>95</v>
      </c>
      <c r="C45" s="26" t="str">
        <f aca="false">IFERROR(AVERAGEIFS($E$11:$E$20,$C$11:$C$20,C$37,$D$11:$D$20,$B45),"")</f>
        <v/>
      </c>
      <c r="D45" s="26" t="str">
        <f aca="false">IFERROR(AVERAGEIFS($F$11:$F$20,$C$11:$C$20,C$37,$D$11:$D$20,$B45),"")</f>
        <v/>
      </c>
      <c r="E45" s="27" t="str">
        <f aca="false">IFERROR(AVERAGEIFS($E$11:$E$20,$C$11:$C$20,E$37,$D$11:$D$20,$B45),"")</f>
        <v/>
      </c>
      <c r="F45" s="27" t="str">
        <f aca="false">IFERROR(AVERAGEIFS($F$11:$F$20,$C$11:$C$20,E$37,$D$11:$D$20,$B45),"")</f>
        <v/>
      </c>
      <c r="G45" s="26" t="str">
        <f aca="false">IFERROR(AVERAGEIFS($E$11:$E$20,$C$11:$C$20,G$37,$D$11:$D$20,$B45),"")</f>
        <v/>
      </c>
      <c r="H45" s="26" t="str">
        <f aca="false">IFERROR(AVERAGEIFS($F$11:$F$20,$C$11:$C$20,G$37,$D$11:$D$20,$B45),"")</f>
        <v/>
      </c>
      <c r="I45" s="27" t="str">
        <f aca="false">IFERROR(AVERAGEIFS($E$11:$E$20,$C$11:$C$20,I$37,$D$11:$D$20,$B45),"")</f>
        <v/>
      </c>
      <c r="J45" s="27" t="str">
        <f aca="false">IFERROR(AVERAGEIFS($F$11:$F$20,$C$11:$C$20,I$37,$D$11:$D$20,$B45),"")</f>
        <v/>
      </c>
      <c r="K45" s="26" t="str">
        <f aca="false">IFERROR(AVERAGEIFS($E$11:$E$20,$C$11:$C$20,K$37,$D$11:$D$20,$B45),"")</f>
        <v/>
      </c>
      <c r="L45" s="26" t="str">
        <f aca="false">IFERROR(AVERAGEIFS($F$11:$F$20,$C$11:$C$20,K$37,$D$11:$D$20,$B45),"")</f>
        <v/>
      </c>
      <c r="M45" s="27" t="str">
        <f aca="false">IFERROR(AVERAGEIFS($E$11:$E$20,$C$11:$C$20,M$37,$D$11:$D$20,$B45),"")</f>
        <v/>
      </c>
      <c r="N45" s="27" t="str">
        <f aca="false">IFERROR(AVERAGEIFS($F$11:$F$20,$C$11:$C$20,M$37,$D$11:$D$20,$B45),"")</f>
        <v/>
      </c>
    </row>
    <row r="46" customFormat="false" ht="15" hidden="false" customHeight="false" outlineLevel="0" collapsed="false">
      <c r="B46" s="68" t="s">
        <v>96</v>
      </c>
      <c r="C46" s="26" t="str">
        <f aca="false">IFERROR(AVERAGEIFS($E$11:$E$20,$C$11:$C$20,C$37,$D$11:$D$20,$B46),"")</f>
        <v/>
      </c>
      <c r="D46" s="26" t="str">
        <f aca="false">IFERROR(AVERAGEIFS($F$11:$F$20,$C$11:$C$20,C$37,$D$11:$D$20,$B46),"")</f>
        <v/>
      </c>
      <c r="E46" s="27" t="str">
        <f aca="false">IFERROR(AVERAGEIFS($E$11:$E$20,$C$11:$C$20,E$37,$D$11:$D$20,$B46),"")</f>
        <v/>
      </c>
      <c r="F46" s="27" t="str">
        <f aca="false">IFERROR(AVERAGEIFS($F$11:$F$20,$C$11:$C$20,E$37,$D$11:$D$20,$B46),"")</f>
        <v/>
      </c>
      <c r="G46" s="26" t="str">
        <f aca="false">IFERROR(AVERAGEIFS($E$11:$E$20,$C$11:$C$20,G$37,$D$11:$D$20,$B46),"")</f>
        <v/>
      </c>
      <c r="H46" s="26" t="str">
        <f aca="false">IFERROR(AVERAGEIFS($F$11:$F$20,$C$11:$C$20,G$37,$D$11:$D$20,$B46),"")</f>
        <v/>
      </c>
      <c r="I46" s="27" t="str">
        <f aca="false">IFERROR(AVERAGEIFS($E$11:$E$20,$C$11:$C$20,I$37,$D$11:$D$20,$B46),"")</f>
        <v/>
      </c>
      <c r="J46" s="27" t="str">
        <f aca="false">IFERROR(AVERAGEIFS($F$11:$F$20,$C$11:$C$20,I$37,$D$11:$D$20,$B46),"")</f>
        <v/>
      </c>
      <c r="K46" s="26" t="str">
        <f aca="false">IFERROR(AVERAGEIFS($E$11:$E$20,$C$11:$C$20,K$37,$D$11:$D$20,$B46),"")</f>
        <v/>
      </c>
      <c r="L46" s="26" t="str">
        <f aca="false">IFERROR(AVERAGEIFS($F$11:$F$20,$C$11:$C$20,K$37,$D$11:$D$20,$B46),"")</f>
        <v/>
      </c>
      <c r="M46" s="27" t="str">
        <f aca="false">IFERROR(AVERAGEIFS($E$11:$E$20,$C$11:$C$20,M$37,$D$11:$D$20,$B46),"")</f>
        <v/>
      </c>
      <c r="N46" s="27" t="str">
        <f aca="false">IFERROR(AVERAGEIFS($F$11:$F$20,$C$11:$C$20,M$37,$D$11:$D$20,$B46),"")</f>
        <v/>
      </c>
    </row>
    <row r="47" customFormat="false" ht="15" hidden="false" customHeight="false" outlineLevel="0" collapsed="false">
      <c r="B47" s="68" t="s">
        <v>97</v>
      </c>
      <c r="C47" s="26" t="str">
        <f aca="false">IFERROR(AVERAGEIFS($E$11:$E$20,$C$11:$C$20,C$37,$D$11:$D$20,$B47),"")</f>
        <v/>
      </c>
      <c r="D47" s="26" t="str">
        <f aca="false">IFERROR(AVERAGEIFS($F$11:$F$20,$C$11:$C$20,C$37,$D$11:$D$20,$B47),"")</f>
        <v/>
      </c>
      <c r="E47" s="27" t="str">
        <f aca="false">IFERROR(AVERAGEIFS($E$11:$E$20,$C$11:$C$20,E$37,$D$11:$D$20,$B47),"")</f>
        <v/>
      </c>
      <c r="F47" s="27" t="str">
        <f aca="false">IFERROR(AVERAGEIFS($F$11:$F$20,$C$11:$C$20,E$37,$D$11:$D$20,$B47),"")</f>
        <v/>
      </c>
      <c r="G47" s="26" t="str">
        <f aca="false">IFERROR(AVERAGEIFS($E$11:$E$20,$C$11:$C$20,G$37,$D$11:$D$20,$B47),"")</f>
        <v/>
      </c>
      <c r="H47" s="26" t="str">
        <f aca="false">IFERROR(AVERAGEIFS($F$11:$F$20,$C$11:$C$20,G$37,$D$11:$D$20,$B47),"")</f>
        <v/>
      </c>
      <c r="I47" s="27" t="str">
        <f aca="false">IFERROR(AVERAGEIFS($E$11:$E$20,$C$11:$C$20,I$37,$D$11:$D$20,$B47),"")</f>
        <v/>
      </c>
      <c r="J47" s="27" t="str">
        <f aca="false">IFERROR(AVERAGEIFS($F$11:$F$20,$C$11:$C$20,I$37,$D$11:$D$20,$B47),"")</f>
        <v/>
      </c>
      <c r="K47" s="26" t="str">
        <f aca="false">IFERROR(AVERAGEIFS($E$11:$E$20,$C$11:$C$20,K$37,$D$11:$D$20,$B47),"")</f>
        <v/>
      </c>
      <c r="L47" s="26" t="str">
        <f aca="false">IFERROR(AVERAGEIFS($F$11:$F$20,$C$11:$C$20,K$37,$D$11:$D$20,$B47),"")</f>
        <v/>
      </c>
      <c r="M47" s="27" t="str">
        <f aca="false">IFERROR(AVERAGEIFS($E$11:$E$20,$C$11:$C$20,M$37,$D$11:$D$20,$B47),"")</f>
        <v/>
      </c>
      <c r="N47" s="27" t="str">
        <f aca="false">IFERROR(AVERAGEIFS($F$11:$F$20,$C$11:$C$20,M$37,$D$11:$D$20,$B47),"")</f>
        <v/>
      </c>
    </row>
    <row r="48" customFormat="false" ht="15" hidden="false" customHeight="false" outlineLevel="0" collapsed="false">
      <c r="B48" s="68" t="s">
        <v>98</v>
      </c>
      <c r="C48" s="26" t="str">
        <f aca="false">IFERROR(AVERAGEIFS($E$11:$E$20,$C$11:$C$20,C$37,$D$11:$D$20,$B48),"")</f>
        <v/>
      </c>
      <c r="D48" s="26" t="str">
        <f aca="false">IFERROR(AVERAGEIFS($F$11:$F$20,$C$11:$C$20,C$37,$D$11:$D$20,$B48),"")</f>
        <v/>
      </c>
      <c r="E48" s="27" t="str">
        <f aca="false">IFERROR(AVERAGEIFS($E$11:$E$20,$C$11:$C$20,E$37,$D$11:$D$20,$B48),"")</f>
        <v/>
      </c>
      <c r="F48" s="27" t="str">
        <f aca="false">IFERROR(AVERAGEIFS($F$11:$F$20,$C$11:$C$20,E$37,$D$11:$D$20,$B48),"")</f>
        <v/>
      </c>
      <c r="G48" s="26" t="str">
        <f aca="false">IFERROR(AVERAGEIFS($E$11:$E$20,$C$11:$C$20,G$37,$D$11:$D$20,$B48),"")</f>
        <v/>
      </c>
      <c r="H48" s="26" t="str">
        <f aca="false">IFERROR(AVERAGEIFS($F$11:$F$20,$C$11:$C$20,G$37,$D$11:$D$20,$B48),"")</f>
        <v/>
      </c>
      <c r="I48" s="27" t="str">
        <f aca="false">IFERROR(AVERAGEIFS($E$11:$E$20,$C$11:$C$20,I$37,$D$11:$D$20,$B48),"")</f>
        <v/>
      </c>
      <c r="J48" s="27" t="str">
        <f aca="false">IFERROR(AVERAGEIFS($F$11:$F$20,$C$11:$C$20,I$37,$D$11:$D$20,$B48),"")</f>
        <v/>
      </c>
      <c r="K48" s="26" t="str">
        <f aca="false">IFERROR(AVERAGEIFS($E$11:$E$20,$C$11:$C$20,K$37,$D$11:$D$20,$B48),"")</f>
        <v/>
      </c>
      <c r="L48" s="26" t="str">
        <f aca="false">IFERROR(AVERAGEIFS($F$11:$F$20,$C$11:$C$20,K$37,$D$11:$D$20,$B48),"")</f>
        <v/>
      </c>
      <c r="M48" s="27" t="str">
        <f aca="false">IFERROR(AVERAGEIFS($E$11:$E$20,$C$11:$C$20,M$37,$D$11:$D$20,$B48),"")</f>
        <v/>
      </c>
      <c r="N48" s="27" t="str">
        <f aca="false">IFERROR(AVERAGEIFS($F$11:$F$20,$C$11:$C$20,M$37,$D$11:$D$20,$B48),"")</f>
        <v/>
      </c>
    </row>
    <row r="49" customFormat="false" ht="15" hidden="false" customHeight="false" outlineLevel="0" collapsed="false">
      <c r="B49" s="68" t="s">
        <v>99</v>
      </c>
      <c r="C49" s="26" t="str">
        <f aca="false">IFERROR(AVERAGEIFS($E$11:$E$20,$C$11:$C$20,C$37,$D$11:$D$20,$B49),"")</f>
        <v/>
      </c>
      <c r="D49" s="26" t="str">
        <f aca="false">IFERROR(AVERAGEIFS($F$11:$F$20,$C$11:$C$20,C$37,$D$11:$D$20,$B49),"")</f>
        <v/>
      </c>
      <c r="E49" s="27" t="str">
        <f aca="false">IFERROR(AVERAGEIFS($E$11:$E$20,$C$11:$C$20,E$37,$D$11:$D$20,$B49),"")</f>
        <v/>
      </c>
      <c r="F49" s="27" t="str">
        <f aca="false">IFERROR(AVERAGEIFS($F$11:$F$20,$C$11:$C$20,E$37,$D$11:$D$20,$B49),"")</f>
        <v/>
      </c>
      <c r="G49" s="26" t="str">
        <f aca="false">IFERROR(AVERAGEIFS($E$11:$E$20,$C$11:$C$20,G$37,$D$11:$D$20,$B49),"")</f>
        <v/>
      </c>
      <c r="H49" s="26" t="str">
        <f aca="false">IFERROR(AVERAGEIFS($F$11:$F$20,$C$11:$C$20,G$37,$D$11:$D$20,$B49),"")</f>
        <v/>
      </c>
      <c r="I49" s="27" t="str">
        <f aca="false">IFERROR(AVERAGEIFS($E$11:$E$20,$C$11:$C$20,I$37,$D$11:$D$20,$B49),"")</f>
        <v/>
      </c>
      <c r="J49" s="27" t="str">
        <f aca="false">IFERROR(AVERAGEIFS($F$11:$F$20,$C$11:$C$20,I$37,$D$11:$D$20,$B49),"")</f>
        <v/>
      </c>
      <c r="K49" s="26" t="str">
        <f aca="false">IFERROR(AVERAGEIFS($E$11:$E$20,$C$11:$C$20,K$37,$D$11:$D$20,$B49),"")</f>
        <v/>
      </c>
      <c r="L49" s="26" t="str">
        <f aca="false">IFERROR(AVERAGEIFS($F$11:$F$20,$C$11:$C$20,K$37,$D$11:$D$20,$B49),"")</f>
        <v/>
      </c>
      <c r="M49" s="27" t="str">
        <f aca="false">IFERROR(AVERAGEIFS($E$11:$E$20,$C$11:$C$20,M$37,$D$11:$D$20,$B49),"")</f>
        <v/>
      </c>
      <c r="N49" s="27" t="str">
        <f aca="false">IFERROR(AVERAGEIFS($F$11:$F$20,$C$11:$C$20,M$37,$D$11:$D$20,$B49),"")</f>
        <v/>
      </c>
    </row>
    <row r="50" customFormat="false" ht="15" hidden="false" customHeight="false" outlineLevel="0" collapsed="false">
      <c r="B50" s="68" t="s">
        <v>100</v>
      </c>
      <c r="C50" s="26" t="str">
        <f aca="false">IFERROR(AVERAGEIFS($E$11:$E$20,$C$11:$C$20,C$37,$D$11:$D$20,$B50),"")</f>
        <v/>
      </c>
      <c r="D50" s="26" t="str">
        <f aca="false">IFERROR(AVERAGEIFS($F$11:$F$20,$C$11:$C$20,C$37,$D$11:$D$20,$B50),"")</f>
        <v/>
      </c>
      <c r="E50" s="27" t="str">
        <f aca="false">IFERROR(AVERAGEIFS($E$11:$E$20,$C$11:$C$20,E$37,$D$11:$D$20,$B50),"")</f>
        <v/>
      </c>
      <c r="F50" s="27" t="str">
        <f aca="false">IFERROR(AVERAGEIFS($F$11:$F$20,$C$11:$C$20,E$37,$D$11:$D$20,$B50),"")</f>
        <v/>
      </c>
      <c r="G50" s="26" t="str">
        <f aca="false">IFERROR(AVERAGEIFS($E$11:$E$20,$C$11:$C$20,G$37,$D$11:$D$20,$B50),"")</f>
        <v/>
      </c>
      <c r="H50" s="26" t="str">
        <f aca="false">IFERROR(AVERAGEIFS($F$11:$F$20,$C$11:$C$20,G$37,$D$11:$D$20,$B50),"")</f>
        <v/>
      </c>
      <c r="I50" s="27" t="str">
        <f aca="false">IFERROR(AVERAGEIFS($E$11:$E$20,$C$11:$C$20,I$37,$D$11:$D$20,$B50),"")</f>
        <v/>
      </c>
      <c r="J50" s="27" t="str">
        <f aca="false">IFERROR(AVERAGEIFS($F$11:$F$20,$C$11:$C$20,I$37,$D$11:$D$20,$B50),"")</f>
        <v/>
      </c>
      <c r="K50" s="26" t="str">
        <f aca="false">IFERROR(AVERAGEIFS($E$11:$E$20,$C$11:$C$20,K$37,$D$11:$D$20,$B50),"")</f>
        <v/>
      </c>
      <c r="L50" s="26" t="str">
        <f aca="false">IFERROR(AVERAGEIFS($F$11:$F$20,$C$11:$C$20,K$37,$D$11:$D$20,$B50),"")</f>
        <v/>
      </c>
      <c r="M50" s="27" t="str">
        <f aca="false">IFERROR(AVERAGEIFS($E$11:$E$20,$C$11:$C$20,M$37,$D$11:$D$20,$B50),"")</f>
        <v/>
      </c>
      <c r="N50" s="27" t="str">
        <f aca="false">IFERROR(AVERAGEIFS($F$11:$F$20,$C$11:$C$20,M$37,$D$11:$D$20,$B50),"")</f>
        <v/>
      </c>
    </row>
    <row r="51" customFormat="false" ht="14.25" hidden="false" customHeight="true" outlineLevel="0" collapsed="false">
      <c r="B51" s="69"/>
      <c r="C51" s="70" t="s">
        <v>101</v>
      </c>
      <c r="D51" s="70"/>
      <c r="E51" s="70"/>
      <c r="F51" s="70"/>
      <c r="G51" s="70"/>
      <c r="H51" s="70"/>
      <c r="I51" s="70"/>
      <c r="J51" s="70"/>
      <c r="K51" s="70"/>
      <c r="L51" s="70"/>
      <c r="M51" s="70"/>
      <c r="N51" s="70"/>
    </row>
    <row r="1048576" customFormat="false" ht="15" hidden="false" customHeight="false" outlineLevel="0" collapsed="false"/>
  </sheetData>
  <mergeCells count="58">
    <mergeCell ref="B2:N2"/>
    <mergeCell ref="C4:N4"/>
    <mergeCell ref="C5:I5"/>
    <mergeCell ref="J5:K5"/>
    <mergeCell ref="L5:N5"/>
    <mergeCell ref="C6:I6"/>
    <mergeCell ref="J6:K6"/>
    <mergeCell ref="L6:N6"/>
    <mergeCell ref="C7:I7"/>
    <mergeCell ref="J7:K7"/>
    <mergeCell ref="L7:N7"/>
    <mergeCell ref="C8:N8"/>
    <mergeCell ref="G10:N10"/>
    <mergeCell ref="G11:N11"/>
    <mergeCell ref="G12:N12"/>
    <mergeCell ref="G13:N13"/>
    <mergeCell ref="G14:N14"/>
    <mergeCell ref="G15:N15"/>
    <mergeCell ref="G16:N16"/>
    <mergeCell ref="G17:N17"/>
    <mergeCell ref="G18:N18"/>
    <mergeCell ref="G19:N19"/>
    <mergeCell ref="G20:N20"/>
    <mergeCell ref="B22:B34"/>
    <mergeCell ref="C22:H22"/>
    <mergeCell ref="I22:N22"/>
    <mergeCell ref="C23:H23"/>
    <mergeCell ref="I23:N23"/>
    <mergeCell ref="C24:H24"/>
    <mergeCell ref="I24:N24"/>
    <mergeCell ref="C25:H25"/>
    <mergeCell ref="I25:N25"/>
    <mergeCell ref="C26:H26"/>
    <mergeCell ref="I26:N26"/>
    <mergeCell ref="C27:H27"/>
    <mergeCell ref="I27:N27"/>
    <mergeCell ref="C28:H28"/>
    <mergeCell ref="I28:N28"/>
    <mergeCell ref="C29:H29"/>
    <mergeCell ref="I29:N29"/>
    <mergeCell ref="C30:H30"/>
    <mergeCell ref="I30:N30"/>
    <mergeCell ref="C31:H31"/>
    <mergeCell ref="I31:N31"/>
    <mergeCell ref="C32:H32"/>
    <mergeCell ref="I32:N32"/>
    <mergeCell ref="C33:H33"/>
    <mergeCell ref="I33:N33"/>
    <mergeCell ref="C34:H34"/>
    <mergeCell ref="I34:N34"/>
    <mergeCell ref="B37:B38"/>
    <mergeCell ref="C37:D37"/>
    <mergeCell ref="E37:F37"/>
    <mergeCell ref="G37:H37"/>
    <mergeCell ref="I37:J37"/>
    <mergeCell ref="K37:L37"/>
    <mergeCell ref="M37:N37"/>
    <mergeCell ref="C51:N51"/>
  </mergeCells>
  <conditionalFormatting sqref="C24">
    <cfRule type="expression" priority="2" aboveAverage="0" equalAverage="0" bottom="0" percent="0" rank="0" text="" dxfId="0">
      <formula>COUNTIFS($C$11:$C$20,"A2")&gt;0</formula>
    </cfRule>
  </conditionalFormatting>
  <conditionalFormatting sqref="C25">
    <cfRule type="expression" priority="3" aboveAverage="0" equalAverage="0" bottom="0" percent="0" rank="0" text="" dxfId="1">
      <formula>COUNTIFS($C$11:$C$20,"A3")&gt;0</formula>
    </cfRule>
  </conditionalFormatting>
  <conditionalFormatting sqref="C26">
    <cfRule type="expression" priority="4" aboveAverage="0" equalAverage="0" bottom="0" percent="0" rank="0" text="" dxfId="2">
      <formula>COUNTIFS($C$11:$C$20,"A4")&gt;0</formula>
    </cfRule>
  </conditionalFormatting>
  <conditionalFormatting sqref="C27">
    <cfRule type="expression" priority="5" aboveAverage="0" equalAverage="0" bottom="0" percent="0" rank="0" text="" dxfId="3">
      <formula>COUNTIFS($C$11:$C$20,"A5")&gt;0</formula>
    </cfRule>
  </conditionalFormatting>
  <conditionalFormatting sqref="C28">
    <cfRule type="expression" priority="6" aboveAverage="0" equalAverage="0" bottom="0" percent="0" rank="0" text="" dxfId="4">
      <formula>COUNTIFS($C$11:$C$20,"A6")&gt;0</formula>
    </cfRule>
  </conditionalFormatting>
  <conditionalFormatting sqref="C23:H23">
    <cfRule type="expression" priority="7" aboveAverage="0" equalAverage="0" bottom="0" percent="0" rank="0" text="" dxfId="5">
      <formula>COUNTIFS($C$11:$C$20,"A1")&gt;0</formula>
    </cfRule>
  </conditionalFormatting>
  <conditionalFormatting sqref="I23">
    <cfRule type="expression" priority="8" aboveAverage="0" equalAverage="0" bottom="0" percent="0" rank="0" text="" dxfId="6">
      <formula>COUNTIFS($D$11:$D$20,"B1")&gt;0</formula>
    </cfRule>
  </conditionalFormatting>
  <conditionalFormatting sqref="I24">
    <cfRule type="expression" priority="9" aboveAverage="0" equalAverage="0" bottom="0" percent="0" rank="0" text="" dxfId="7">
      <formula>COUNTIFS($D$11:$D$20,"B2")&gt;0</formula>
    </cfRule>
  </conditionalFormatting>
  <conditionalFormatting sqref="I25">
    <cfRule type="expression" priority="10" aboveAverage="0" equalAverage="0" bottom="0" percent="0" rank="0" text="" dxfId="8">
      <formula>COUNTIFS($D$11:$D$20,"B3")&gt;0</formula>
    </cfRule>
  </conditionalFormatting>
  <conditionalFormatting sqref="I26">
    <cfRule type="expression" priority="11" aboveAverage="0" equalAverage="0" bottom="0" percent="0" rank="0" text="" dxfId="9">
      <formula>COUNTIFS($D$11:$D$20,"B4")&gt;0</formula>
    </cfRule>
  </conditionalFormatting>
  <conditionalFormatting sqref="I27">
    <cfRule type="expression" priority="12" aboveAverage="0" equalAverage="0" bottom="0" percent="0" rank="0" text="" dxfId="10">
      <formula>COUNTIFS($D$11:$D$20,"B5")&gt;0</formula>
    </cfRule>
  </conditionalFormatting>
  <conditionalFormatting sqref="I28">
    <cfRule type="expression" priority="13" aboveAverage="0" equalAverage="0" bottom="0" percent="0" rank="0" text="" dxfId="11">
      <formula>COUNTIFS($D$11:$D$20,"B6")&gt;0</formula>
    </cfRule>
  </conditionalFormatting>
  <conditionalFormatting sqref="I29">
    <cfRule type="expression" priority="14" aboveAverage="0" equalAverage="0" bottom="0" percent="0" rank="0" text="" dxfId="12">
      <formula>COUNTIFS($D$11:$D$20,"B7")&gt;0</formula>
    </cfRule>
  </conditionalFormatting>
  <conditionalFormatting sqref="I30">
    <cfRule type="expression" priority="15" aboveAverage="0" equalAverage="0" bottom="0" percent="0" rank="0" text="" dxfId="13">
      <formula>COUNTIFS($D$11:$D$20,"B8")&gt;0</formula>
    </cfRule>
  </conditionalFormatting>
  <conditionalFormatting sqref="I31">
    <cfRule type="expression" priority="16" aboveAverage="0" equalAverage="0" bottom="0" percent="0" rank="0" text="" dxfId="14">
      <formula>COUNTIFS($D$11:$D$20,"B9")&gt;0</formula>
    </cfRule>
  </conditionalFormatting>
  <conditionalFormatting sqref="I32">
    <cfRule type="expression" priority="17" aboveAverage="0" equalAverage="0" bottom="0" percent="0" rank="0" text="" dxfId="15">
      <formula>COUNTIFS($D$11:$D$20,"B10")&gt;0</formula>
    </cfRule>
  </conditionalFormatting>
  <conditionalFormatting sqref="I33">
    <cfRule type="expression" priority="18" aboveAverage="0" equalAverage="0" bottom="0" percent="0" rank="0" text="" dxfId="16">
      <formula>COUNTIFS($D$11:$D$20,"B11")&gt;0</formula>
    </cfRule>
  </conditionalFormatting>
  <conditionalFormatting sqref="I34">
    <cfRule type="expression" priority="19" aboveAverage="0" equalAverage="0" bottom="0" percent="0" rank="0" text="" dxfId="17">
      <formula>COUNTIFS($D$11:$D$20,"B12")&gt;0</formula>
    </cfRule>
  </conditionalFormatting>
  <printOptions headings="false" gridLines="false" gridLinesSet="true" horizontalCentered="true" verticalCentered="false"/>
  <pageMargins left="0.25" right="0.25"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4C7E7"/>
    <pageSetUpPr fitToPage="true"/>
  </sheetPr>
  <dimension ref="A1:C23"/>
  <sheetViews>
    <sheetView showFormulas="false" showGridLines="false" showRowColHeaders="true" showZeros="true" rightToLeft="false" tabSelected="true" showOutlineSymbols="true" defaultGridColor="true" view="normal" topLeftCell="C9" colorId="64" zoomScale="100" zoomScaleNormal="100" zoomScalePageLayoutView="100" workbookViewId="0">
      <selection pane="topLeft" activeCell="C14" activeCellId="0" sqref="C14"/>
    </sheetView>
  </sheetViews>
  <sheetFormatPr defaultColWidth="8.875" defaultRowHeight="15" zeroHeight="true" outlineLevelRow="0" outlineLevelCol="0"/>
  <cols>
    <col collapsed="false" customWidth="true" hidden="false" outlineLevel="0" max="1" min="1" style="0" width="2.57"/>
    <col collapsed="false" customWidth="true" hidden="false" outlineLevel="0" max="2" min="2" style="0" width="29.29"/>
    <col collapsed="false" customWidth="true" hidden="false" outlineLevel="0" max="3" min="3" style="0" width="121.57"/>
    <col collapsed="false" customWidth="true" hidden="true" outlineLevel="0" max="4" min="4" style="0" width="44"/>
    <col collapsed="false" customWidth="false" hidden="true" outlineLevel="0" max="1024" min="5" style="0" width="8.86"/>
  </cols>
  <sheetData>
    <row r="1" customFormat="false" ht="18.75" hidden="false" customHeight="false" outlineLevel="0" collapsed="false">
      <c r="A1" s="71" t="s">
        <v>62</v>
      </c>
      <c r="B1" s="71"/>
      <c r="C1" s="71"/>
    </row>
    <row r="2" customFormat="false" ht="15" hidden="false" customHeight="false" outlineLevel="0" collapsed="false">
      <c r="B2" s="72" t="s">
        <v>102</v>
      </c>
    </row>
    <row r="3" customFormat="false" ht="15" hidden="false" customHeight="false" outlineLevel="0" collapsed="false">
      <c r="A3" s="73" t="s">
        <v>103</v>
      </c>
      <c r="B3" s="74"/>
      <c r="C3" s="74"/>
    </row>
    <row r="4" customFormat="false" ht="53.7" hidden="false" customHeight="false" outlineLevel="0" collapsed="false">
      <c r="A4" s="74"/>
      <c r="B4" s="75" t="s">
        <v>7</v>
      </c>
      <c r="C4" s="76" t="s">
        <v>104</v>
      </c>
    </row>
    <row r="5" customFormat="false" ht="43.25" hidden="false" customHeight="false" outlineLevel="0" collapsed="false">
      <c r="A5" s="74"/>
      <c r="B5" s="75" t="s">
        <v>105</v>
      </c>
      <c r="C5" s="76" t="s">
        <v>106</v>
      </c>
    </row>
    <row r="6" customFormat="false" ht="53.7" hidden="false" customHeight="false" outlineLevel="0" collapsed="false">
      <c r="A6" s="74"/>
      <c r="B6" s="75" t="s">
        <v>9</v>
      </c>
      <c r="C6" s="76" t="s">
        <v>107</v>
      </c>
    </row>
    <row r="7" customFormat="false" ht="64.15" hidden="false" customHeight="false" outlineLevel="0" collapsed="false">
      <c r="A7" s="74"/>
      <c r="B7" s="75" t="s">
        <v>108</v>
      </c>
      <c r="C7" s="76" t="s">
        <v>109</v>
      </c>
    </row>
    <row r="8" customFormat="false" ht="53.7" hidden="false" customHeight="false" outlineLevel="0" collapsed="false">
      <c r="A8" s="74"/>
      <c r="B8" s="75" t="s">
        <v>110</v>
      </c>
      <c r="C8" s="76" t="s">
        <v>111</v>
      </c>
    </row>
    <row r="9" customFormat="false" ht="53.7" hidden="false" customHeight="false" outlineLevel="0" collapsed="false">
      <c r="A9" s="74"/>
      <c r="B9" s="75" t="s">
        <v>112</v>
      </c>
      <c r="C9" s="76" t="s">
        <v>113</v>
      </c>
    </row>
    <row r="10" customFormat="false" ht="15" hidden="false" customHeight="false" outlineLevel="0" collapsed="false">
      <c r="B10" s="77"/>
    </row>
    <row r="11" customFormat="false" ht="15" hidden="false" customHeight="false" outlineLevel="0" collapsed="false">
      <c r="A11" s="78" t="s">
        <v>114</v>
      </c>
      <c r="B11" s="79"/>
      <c r="C11" s="80"/>
    </row>
    <row r="12" customFormat="false" ht="53.7" hidden="false" customHeight="false" outlineLevel="0" collapsed="false">
      <c r="A12" s="80"/>
      <c r="B12" s="75" t="s">
        <v>115</v>
      </c>
      <c r="C12" s="76" t="s">
        <v>116</v>
      </c>
    </row>
    <row r="13" customFormat="false" ht="43.25" hidden="false" customHeight="false" outlineLevel="0" collapsed="false">
      <c r="A13" s="80"/>
      <c r="B13" s="75" t="s">
        <v>117</v>
      </c>
      <c r="C13" s="76" t="s">
        <v>118</v>
      </c>
    </row>
    <row r="14" customFormat="false" ht="43.25" hidden="false" customHeight="false" outlineLevel="0" collapsed="false">
      <c r="A14" s="80"/>
      <c r="B14" s="75" t="s">
        <v>119</v>
      </c>
      <c r="C14" s="76" t="s">
        <v>120</v>
      </c>
    </row>
    <row r="15" customFormat="false" ht="43.25" hidden="false" customHeight="false" outlineLevel="0" collapsed="false">
      <c r="A15" s="80"/>
      <c r="B15" s="75" t="s">
        <v>121</v>
      </c>
      <c r="C15" s="76" t="s">
        <v>122</v>
      </c>
    </row>
    <row r="16" customFormat="false" ht="32.8" hidden="false" customHeight="false" outlineLevel="0" collapsed="false">
      <c r="A16" s="80"/>
      <c r="B16" s="75" t="s">
        <v>123</v>
      </c>
      <c r="C16" s="76" t="s">
        <v>124</v>
      </c>
    </row>
    <row r="17" customFormat="false" ht="32.8" hidden="false" customHeight="false" outlineLevel="0" collapsed="false">
      <c r="A17" s="80"/>
      <c r="B17" s="75" t="s">
        <v>125</v>
      </c>
      <c r="C17" s="76" t="s">
        <v>126</v>
      </c>
    </row>
    <row r="18" customFormat="false" ht="43.25" hidden="false" customHeight="false" outlineLevel="0" collapsed="false">
      <c r="A18" s="80"/>
      <c r="B18" s="75" t="s">
        <v>127</v>
      </c>
      <c r="C18" s="76" t="s">
        <v>128</v>
      </c>
    </row>
    <row r="19" customFormat="false" ht="32.8" hidden="false" customHeight="false" outlineLevel="0" collapsed="false">
      <c r="A19" s="80"/>
      <c r="B19" s="75" t="s">
        <v>129</v>
      </c>
      <c r="C19" s="76" t="s">
        <v>130</v>
      </c>
    </row>
    <row r="20" customFormat="false" ht="53.7" hidden="false" customHeight="false" outlineLevel="0" collapsed="false">
      <c r="A20" s="80"/>
      <c r="B20" s="75" t="s">
        <v>131</v>
      </c>
      <c r="C20" s="76" t="s">
        <v>132</v>
      </c>
    </row>
    <row r="21" customFormat="false" ht="53.7" hidden="false" customHeight="false" outlineLevel="0" collapsed="false">
      <c r="A21" s="80"/>
      <c r="B21" s="75" t="s">
        <v>133</v>
      </c>
      <c r="C21" s="76" t="s">
        <v>134</v>
      </c>
    </row>
    <row r="22" customFormat="false" ht="24" hidden="false" customHeight="false" outlineLevel="0" collapsed="false">
      <c r="A22" s="80"/>
      <c r="B22" s="75" t="s">
        <v>135</v>
      </c>
      <c r="C22" s="76" t="s">
        <v>136</v>
      </c>
    </row>
    <row r="23" customFormat="false" ht="36" hidden="false" customHeight="false" outlineLevel="0" collapsed="false">
      <c r="A23" s="80"/>
      <c r="B23" s="75" t="s">
        <v>137</v>
      </c>
      <c r="C23" s="76" t="s">
        <v>138</v>
      </c>
    </row>
  </sheetData>
  <mergeCells count="1">
    <mergeCell ref="A1:C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2023-12-23T11:37:17Z</dcterms:created>
  <dc:creator>Luc Jonveaux</dc:creator>
  <dc:description/>
  <dc:language>en-US</dc:language>
  <cp:lastModifiedBy/>
  <cp:lastPrinted>2024-01-08T13:47:45Z</cp:lastPrinted>
  <dcterms:modified xsi:type="dcterms:W3CDTF">2024-11-15T16:02:31Z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0x0101007BD61AFCC8A643B8924AB3F7EE1826010200A84A4FD139F6FE4C92EB97BC23352206</vt:lpwstr>
  </property>
  <property fmtid="{D5CDD505-2E9C-101B-9397-08002B2CF9AE}" pid="3" name="TaxKeyword">
    <vt:lpwstr/>
  </property>
  <property fmtid="{D5CDD505-2E9C-101B-9397-08002B2CF9AE}" pid="4" name="_dlc_DocIdItemGuid">
    <vt:lpwstr>5fb75e6f-eab8-47de-b779-6ff7a9fe705a</vt:lpwstr>
  </property>
</Properties>
</file>